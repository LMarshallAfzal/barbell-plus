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00000000-0000-0000-0000-000000000000}"/>
  <workbookPr codeName="ThisWorkbook" autoCompressPictures="0"/>
  <mc:AlternateContent xmlns:mc="http://schemas.openxmlformats.org/markup-compatibility/2006">
    <mc:Choice Requires="x15">
      <x15ac:absPath xmlns:x15ac="http://schemas.microsoft.com/office/spreadsheetml/2010/11/ac" url="C:\Users\denzi\Dropbox\001 University Barbell Coaching\KCL Barbell Club\08 KCL Programs\001 Generic Programs\"/>
    </mc:Choice>
  </mc:AlternateContent>
  <xr:revisionPtr revIDLastSave="0" documentId="13_ncr:1000001_{50A261A6-2CA6-B547-A3DF-4A4F7D0C614C}" xr6:coauthVersionLast="47" xr6:coauthVersionMax="47" xr10:uidLastSave="{00000000-0000-0000-0000-000000000000}"/>
  <bookViews>
    <workbookView xWindow="9380" yWindow="-10910" windowWidth="19420" windowHeight="10420" firstSheet="2" activeTab="2" xr2:uid="{00000000-000D-0000-FFFF-FFFF00000000}"/>
  </bookViews>
  <sheets>
    <sheet name="Overview" sheetId="6" r:id="rId1"/>
    <sheet name="Exercise Selection" sheetId="25" r:id="rId2"/>
    <sheet name="Training Plan" sheetId="23" r:id="rId3"/>
    <sheet name="Formula" sheetId="26" state="hidden" r:id="rId4"/>
    <sheet name="RM Calculator" sheetId="14" state="hidden" r:id="rId5"/>
    <sheet name="Mobility Warm Up and Cool Down" sheetId="27" r:id="rId6"/>
    <sheet name="Macrocycle Analytics" sheetId="22" r:id="rId7"/>
  </sheets>
  <externalReferences>
    <externalReference r:id="rId8"/>
    <externalReference r:id="rId9"/>
    <externalReference r:id="rId10"/>
  </externalReferences>
  <definedNames>
    <definedName name="Age" localSheetId="5">[1]Formulas!$F$2:$F$26</definedName>
    <definedName name="Age">#REF!</definedName>
    <definedName name="Analytics" localSheetId="5">#REF!</definedName>
    <definedName name="Analytics">#REF!</definedName>
    <definedName name="Analytics_By_Week" localSheetId="5">#REF!</definedName>
    <definedName name="Analytics_By_Week">#REF!</definedName>
    <definedName name="benchvol">OFFSET([2]TRAINING!$AE$28, 1, 0, [2]TRAINING!$AE$27, 1)</definedName>
    <definedName name="Date">OFFSET([3]Nutrition!$D$18,0,0,COUNTA([3]Nutrition!$D:$D)-4)</definedName>
    <definedName name="deadliftvol">OFFSET([2]TRAINING!$AF$28, 1, 0, [2]TRAINING!$AF$27, 1)</definedName>
    <definedName name="Gender" localSheetId="5">[1]Formulas!$H$2:$H$3</definedName>
    <definedName name="Gender">#REF!</definedName>
    <definedName name="Height" localSheetId="5">[1]Formulas!$I$2:$I$32</definedName>
    <definedName name="Height">#REF!</definedName>
    <definedName name="microcycle_analytics" localSheetId="5">#REF!</definedName>
    <definedName name="microcycle_analytics">#REF!</definedName>
    <definedName name="S2_analytics" localSheetId="5">#REF!</definedName>
    <definedName name="S2_analytics">#REF!</definedName>
    <definedName name="S2W1" localSheetId="5">#REF!</definedName>
    <definedName name="S2W1">#REF!</definedName>
    <definedName name="S2W2" localSheetId="5">#REF!</definedName>
    <definedName name="S2W2">#REF!</definedName>
    <definedName name="S2W3" localSheetId="5">#REF!</definedName>
    <definedName name="S2W3">#REF!</definedName>
    <definedName name="S2W4" localSheetId="5">#REF!</definedName>
    <definedName name="S2W4">#REF!</definedName>
    <definedName name="S3_analytics" localSheetId="5">#REF!</definedName>
    <definedName name="S3_analytics">#REF!</definedName>
    <definedName name="S3W1" localSheetId="5">#REF!</definedName>
    <definedName name="S3W1">#REF!</definedName>
    <definedName name="S3W2" localSheetId="5">#REF!</definedName>
    <definedName name="S3W2">#REF!</definedName>
    <definedName name="S3W3" localSheetId="5">#REF!</definedName>
    <definedName name="S3W3">#REF!</definedName>
    <definedName name="S3W4" localSheetId="5">#REF!</definedName>
    <definedName name="S3W4">#REF!</definedName>
    <definedName name="S4_analytics" localSheetId="5">#REF!</definedName>
    <definedName name="S4_analytics">#REF!</definedName>
    <definedName name="S4W1" localSheetId="5">#REF!</definedName>
    <definedName name="S4W1">#REF!</definedName>
    <definedName name="S4W2" localSheetId="5">#REF!</definedName>
    <definedName name="S4W2">#REF!</definedName>
    <definedName name="S4W3" localSheetId="5">#REF!</definedName>
    <definedName name="S4W3">#REF!</definedName>
    <definedName name="S4W4" localSheetId="5">#REF!</definedName>
    <definedName name="S4W4">#REF!</definedName>
    <definedName name="S5_analytics" localSheetId="5">#REF!</definedName>
    <definedName name="S5_analytics">#REF!</definedName>
    <definedName name="S5W1" localSheetId="5">#REF!</definedName>
    <definedName name="S5W1">#REF!</definedName>
    <definedName name="S5W2" localSheetId="5">#REF!</definedName>
    <definedName name="S5W2">#REF!</definedName>
    <definedName name="S5W3" localSheetId="5">#REF!</definedName>
    <definedName name="S5W3">#REF!</definedName>
    <definedName name="S5W4" localSheetId="5">#REF!</definedName>
    <definedName name="S5W4">#REF!</definedName>
    <definedName name="squatvol">OFFSET([2]TRAINING!$AD$28, 1, 0, [2]TRAINING!$AD$27, 1)</definedName>
    <definedName name="Week_1" localSheetId="5">#REF!</definedName>
    <definedName name="Week_1">#REF!</definedName>
    <definedName name="week_2" localSheetId="5">#REF!</definedName>
    <definedName name="week_2">#REF!</definedName>
    <definedName name="week_2_real" localSheetId="5">#REF!</definedName>
    <definedName name="week_2_real">#REF!</definedName>
    <definedName name="Week_3" localSheetId="5">#REF!</definedName>
    <definedName name="Week_3">#REF!</definedName>
    <definedName name="Week_4" localSheetId="5">#REF!</definedName>
    <definedName name="Week_4">#REF!</definedName>
    <definedName name="Weight">OFFSET([3]Nutrition!$E$18,0,0,COUNTA([3]Nutrition!$E:$E)-4)</definedName>
    <definedName name="WeightClasses">#REF!</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8" i="23" l="1"/>
  <c r="A10" i="26"/>
  <c r="A11" i="26"/>
  <c r="A12" i="26"/>
  <c r="A13" i="26"/>
  <c r="A14" i="26"/>
  <c r="A15" i="26"/>
  <c r="A18" i="26"/>
  <c r="A19" i="26"/>
  <c r="A20" i="26"/>
  <c r="A26" i="26"/>
  <c r="A27" i="26"/>
  <c r="A28" i="26"/>
  <c r="A34" i="26"/>
  <c r="A35" i="26"/>
  <c r="A36" i="26"/>
  <c r="A37" i="26"/>
  <c r="A38" i="26"/>
  <c r="A39" i="26"/>
  <c r="A21" i="26"/>
  <c r="A22" i="26"/>
  <c r="A23" i="26"/>
  <c r="A24" i="26"/>
  <c r="A25" i="26"/>
  <c r="AA339" i="23"/>
  <c r="AA340" i="23"/>
  <c r="AA341" i="23"/>
  <c r="AA342" i="23"/>
  <c r="AA343" i="23"/>
  <c r="AA344" i="23"/>
  <c r="AA345" i="23"/>
  <c r="AA346" i="23"/>
  <c r="B38" i="26"/>
  <c r="AA350" i="23"/>
  <c r="AA351" i="23"/>
  <c r="AA352" i="23"/>
  <c r="AA353" i="23"/>
  <c r="AA354" i="23"/>
  <c r="AA355" i="23"/>
  <c r="AA356" i="23"/>
  <c r="AA357" i="23"/>
  <c r="AA210" i="23"/>
  <c r="AA211" i="23"/>
  <c r="AA212" i="23"/>
  <c r="AA213" i="23"/>
  <c r="AA214" i="23"/>
  <c r="AA215" i="23"/>
  <c r="AA216" i="23"/>
  <c r="AA217" i="23"/>
  <c r="A29" i="26"/>
  <c r="A30" i="26"/>
  <c r="A31" i="26"/>
  <c r="A32" i="26"/>
  <c r="A33" i="26"/>
  <c r="AA317" i="23"/>
  <c r="AA318" i="23"/>
  <c r="AA319" i="23"/>
  <c r="AA320" i="23"/>
  <c r="AA321" i="23"/>
  <c r="AA322" i="23"/>
  <c r="AA323" i="23"/>
  <c r="AA324" i="23"/>
  <c r="AA328" i="23"/>
  <c r="AA329" i="23"/>
  <c r="AA330" i="23"/>
  <c r="AA331" i="23"/>
  <c r="B37" i="26"/>
  <c r="AA332" i="23"/>
  <c r="AA333" i="23"/>
  <c r="AA334" i="23"/>
  <c r="AA335" i="23"/>
  <c r="AA199" i="23"/>
  <c r="AA200" i="23"/>
  <c r="AA201" i="23"/>
  <c r="AA202" i="23"/>
  <c r="AA203" i="23"/>
  <c r="AA204" i="23"/>
  <c r="AA205" i="23"/>
  <c r="AA206" i="23"/>
  <c r="AA295" i="23"/>
  <c r="AA296" i="23"/>
  <c r="AA297" i="23"/>
  <c r="AA298" i="23"/>
  <c r="B34" i="26"/>
  <c r="AA299" i="23"/>
  <c r="AA300" i="23"/>
  <c r="AA301" i="23"/>
  <c r="AA302" i="23"/>
  <c r="AA306" i="23"/>
  <c r="AA307" i="23"/>
  <c r="AA308" i="23"/>
  <c r="AA309" i="23"/>
  <c r="B35" i="26"/>
  <c r="AA310" i="23"/>
  <c r="AA311" i="23"/>
  <c r="AA312" i="23"/>
  <c r="AA313" i="23"/>
  <c r="AA7" i="23"/>
  <c r="AA8" i="23"/>
  <c r="AA9" i="23"/>
  <c r="AA10" i="23"/>
  <c r="AA11" i="23"/>
  <c r="AA12" i="23"/>
  <c r="B10" i="26"/>
  <c r="D605" i="23"/>
  <c r="AA13" i="23"/>
  <c r="AA14" i="23"/>
  <c r="AA18" i="23"/>
  <c r="AA19" i="23"/>
  <c r="AA20" i="23"/>
  <c r="AA21" i="23"/>
  <c r="AA22" i="23"/>
  <c r="AA23" i="23"/>
  <c r="AA24" i="23"/>
  <c r="AA25" i="23"/>
  <c r="AA103" i="23"/>
  <c r="AA104" i="23"/>
  <c r="AA105" i="23"/>
  <c r="AA106" i="23"/>
  <c r="AA107" i="23"/>
  <c r="AA108" i="23"/>
  <c r="AA109" i="23"/>
  <c r="AA110" i="23"/>
  <c r="AA29" i="23"/>
  <c r="AA40" i="23"/>
  <c r="AA51" i="23"/>
  <c r="AA62" i="23"/>
  <c r="AA73" i="23"/>
  <c r="AA84" i="23"/>
  <c r="AA30" i="23"/>
  <c r="AA41" i="23"/>
  <c r="AA52" i="23"/>
  <c r="AA63" i="23"/>
  <c r="AA74" i="23"/>
  <c r="AA85" i="23"/>
  <c r="AA31" i="23"/>
  <c r="AA42" i="23"/>
  <c r="AA53" i="23"/>
  <c r="AA64" i="23"/>
  <c r="AA75" i="23"/>
  <c r="AA86" i="23"/>
  <c r="AA32" i="23"/>
  <c r="AA43" i="23"/>
  <c r="AA54" i="23"/>
  <c r="AA65" i="23"/>
  <c r="AA76" i="23"/>
  <c r="AA87" i="23"/>
  <c r="AA33" i="23"/>
  <c r="AA44" i="23"/>
  <c r="AA55" i="23"/>
  <c r="AA66" i="23"/>
  <c r="AA77" i="23"/>
  <c r="AA88" i="23"/>
  <c r="AA34" i="23"/>
  <c r="AA45" i="23"/>
  <c r="AA56" i="23"/>
  <c r="AA67" i="23"/>
  <c r="AA78" i="23"/>
  <c r="AA89" i="23"/>
  <c r="AA35" i="23"/>
  <c r="AA46" i="23"/>
  <c r="AA57" i="23"/>
  <c r="AA68" i="23"/>
  <c r="AA79" i="23"/>
  <c r="AA90" i="23"/>
  <c r="AA36" i="23"/>
  <c r="AA47" i="23"/>
  <c r="AA58" i="23"/>
  <c r="AA69" i="23"/>
  <c r="AA80" i="23"/>
  <c r="AA91" i="23"/>
  <c r="AA114" i="23"/>
  <c r="AA125" i="23"/>
  <c r="AA136" i="23"/>
  <c r="AA147" i="23"/>
  <c r="AA158" i="23"/>
  <c r="AA169" i="23"/>
  <c r="AA180" i="23"/>
  <c r="AA115" i="23"/>
  <c r="AA126" i="23"/>
  <c r="AA137" i="23"/>
  <c r="AA148" i="23"/>
  <c r="AA159" i="23"/>
  <c r="AA170" i="23"/>
  <c r="AA181" i="23"/>
  <c r="AA116" i="23"/>
  <c r="AA127" i="23"/>
  <c r="AA138" i="23"/>
  <c r="AA139" i="23"/>
  <c r="AA140" i="23"/>
  <c r="AA141" i="23"/>
  <c r="B21" i="26"/>
  <c r="AA149" i="23"/>
  <c r="AA160" i="23"/>
  <c r="AA171" i="23"/>
  <c r="AA182" i="23"/>
  <c r="AA117" i="23"/>
  <c r="AA128" i="23"/>
  <c r="AA150" i="23"/>
  <c r="AA161" i="23"/>
  <c r="AA162" i="23"/>
  <c r="AA163" i="23"/>
  <c r="B23" i="26"/>
  <c r="AA172" i="23"/>
  <c r="AA183" i="23"/>
  <c r="AA118" i="23"/>
  <c r="AA129" i="23"/>
  <c r="AA151" i="23"/>
  <c r="AA173" i="23"/>
  <c r="AA184" i="23"/>
  <c r="AA119" i="23"/>
  <c r="AA130" i="23"/>
  <c r="AA152" i="23"/>
  <c r="AA174" i="23"/>
  <c r="AA185" i="23"/>
  <c r="AA120" i="23"/>
  <c r="AA131" i="23"/>
  <c r="AA142" i="23"/>
  <c r="AA153" i="23"/>
  <c r="AA164" i="23"/>
  <c r="AA175" i="23"/>
  <c r="AA186" i="23"/>
  <c r="AA121" i="23"/>
  <c r="AA132" i="23"/>
  <c r="AA143" i="23"/>
  <c r="AA154" i="23"/>
  <c r="AA165" i="23"/>
  <c r="AA176" i="23"/>
  <c r="AA187" i="23"/>
  <c r="AA221" i="23"/>
  <c r="AA232" i="23"/>
  <c r="AA243" i="23"/>
  <c r="AC340" i="23"/>
  <c r="AA254" i="23"/>
  <c r="AA265" i="23"/>
  <c r="AA276" i="23"/>
  <c r="AA222" i="23"/>
  <c r="AA233" i="23"/>
  <c r="AA244" i="23"/>
  <c r="B30" i="26"/>
  <c r="AA255" i="23"/>
  <c r="AA266" i="23"/>
  <c r="AA277" i="23"/>
  <c r="AA223" i="23"/>
  <c r="AA234" i="23"/>
  <c r="AA245" i="23"/>
  <c r="AA256" i="23"/>
  <c r="I286" i="23"/>
  <c r="AA267" i="23"/>
  <c r="AA278" i="23"/>
  <c r="AA224" i="23"/>
  <c r="AA235" i="23"/>
  <c r="AA246" i="23"/>
  <c r="AA257" i="23"/>
  <c r="AA268" i="23"/>
  <c r="AA279" i="23"/>
  <c r="AA225" i="23"/>
  <c r="AA236" i="23"/>
  <c r="AA247" i="23"/>
  <c r="AA258" i="23"/>
  <c r="AA269" i="23"/>
  <c r="AA280" i="23"/>
  <c r="AA228" i="23"/>
  <c r="AA239" i="23"/>
  <c r="AA250" i="23"/>
  <c r="AA261" i="23"/>
  <c r="AA272" i="23"/>
  <c r="AA283" i="23"/>
  <c r="AA226" i="23"/>
  <c r="AA237" i="23"/>
  <c r="AA248" i="23"/>
  <c r="AA259" i="23"/>
  <c r="AA270" i="23"/>
  <c r="AA281" i="23"/>
  <c r="AA227" i="23"/>
  <c r="AA238" i="23"/>
  <c r="AA249" i="23"/>
  <c r="AA260" i="23"/>
  <c r="AA271" i="23"/>
  <c r="AA282" i="23"/>
  <c r="AA361" i="23"/>
  <c r="AA363" i="23"/>
  <c r="AA362" i="23"/>
  <c r="AA364" i="23"/>
  <c r="B40" i="26"/>
  <c r="AA372" i="23"/>
  <c r="AA373" i="23"/>
  <c r="AA374" i="23"/>
  <c r="AA375" i="23"/>
  <c r="AA365" i="23"/>
  <c r="AA376" i="23"/>
  <c r="AA366" i="23"/>
  <c r="AA377" i="23"/>
  <c r="AA367" i="23"/>
  <c r="AA378" i="23"/>
  <c r="AA368" i="23"/>
  <c r="AA379" i="23"/>
  <c r="AA391" i="23"/>
  <c r="AA402" i="23"/>
  <c r="AA413" i="23"/>
  <c r="AA424" i="23"/>
  <c r="AA435" i="23"/>
  <c r="AA446" i="23"/>
  <c r="AA457" i="23"/>
  <c r="AA468" i="23"/>
  <c r="AA392" i="23"/>
  <c r="AA403" i="23"/>
  <c r="AA414" i="23"/>
  <c r="AA425" i="23"/>
  <c r="AA436" i="23"/>
  <c r="AA447" i="23"/>
  <c r="AA458" i="23"/>
  <c r="AA469" i="23"/>
  <c r="AA393" i="23"/>
  <c r="AA404" i="23"/>
  <c r="AA415" i="23"/>
  <c r="AA426" i="23"/>
  <c r="AA437" i="23"/>
  <c r="AA448" i="23"/>
  <c r="AA459" i="23"/>
  <c r="AA470" i="23"/>
  <c r="AA394" i="23"/>
  <c r="AA405" i="23"/>
  <c r="AA416" i="23"/>
  <c r="AA427" i="23"/>
  <c r="AA438" i="23"/>
  <c r="AA449" i="23"/>
  <c r="AA460" i="23"/>
  <c r="AA471" i="23"/>
  <c r="AA395" i="23"/>
  <c r="AA406" i="23"/>
  <c r="AA417" i="23"/>
  <c r="AA428" i="23"/>
  <c r="AA439" i="23"/>
  <c r="AA450" i="23"/>
  <c r="AA461" i="23"/>
  <c r="AA472" i="23"/>
  <c r="AA396" i="23"/>
  <c r="AA407" i="23"/>
  <c r="AA418" i="23"/>
  <c r="AA429" i="23"/>
  <c r="AA440" i="23"/>
  <c r="AA451" i="23"/>
  <c r="AA462" i="23"/>
  <c r="AA473" i="23"/>
  <c r="AA397" i="23"/>
  <c r="AA408" i="23"/>
  <c r="AA419" i="23"/>
  <c r="AA430" i="23"/>
  <c r="AA441" i="23"/>
  <c r="AA452" i="23"/>
  <c r="AA463" i="23"/>
  <c r="AA474" i="23"/>
  <c r="AA398" i="23"/>
  <c r="AA409" i="23"/>
  <c r="AA420" i="23"/>
  <c r="AA431" i="23"/>
  <c r="AA442" i="23"/>
  <c r="B46" i="26"/>
  <c r="AA453" i="23"/>
  <c r="AA464" i="23"/>
  <c r="AA475" i="23"/>
  <c r="AA487" i="23"/>
  <c r="AA498" i="23"/>
  <c r="AA509" i="23"/>
  <c r="AA520" i="23"/>
  <c r="AA531" i="23"/>
  <c r="AA542" i="23"/>
  <c r="AA553" i="23"/>
  <c r="AA564" i="23"/>
  <c r="AA488" i="23"/>
  <c r="AA499" i="23"/>
  <c r="AA510" i="23"/>
  <c r="AA521" i="23"/>
  <c r="AA532" i="23"/>
  <c r="AA543" i="23"/>
  <c r="AA554" i="23"/>
  <c r="AA565" i="23"/>
  <c r="AA489" i="23"/>
  <c r="AA500" i="23"/>
  <c r="AA511" i="23"/>
  <c r="AA522" i="23"/>
  <c r="AA533" i="23"/>
  <c r="AA544" i="23"/>
  <c r="AA555" i="23"/>
  <c r="AA566" i="23"/>
  <c r="AA490" i="23"/>
  <c r="AA501" i="23"/>
  <c r="AA512" i="23"/>
  <c r="AA523" i="23"/>
  <c r="AA534" i="23"/>
  <c r="AA545" i="23"/>
  <c r="AA556" i="23"/>
  <c r="AA567" i="23"/>
  <c r="AA491" i="23"/>
  <c r="AA502" i="23"/>
  <c r="AA513" i="23"/>
  <c r="AA524" i="23"/>
  <c r="AA535" i="23"/>
  <c r="AA546" i="23"/>
  <c r="AA557" i="23"/>
  <c r="AA568" i="23"/>
  <c r="AA492" i="23"/>
  <c r="AA503" i="23"/>
  <c r="AA514" i="23"/>
  <c r="AA525" i="23"/>
  <c r="AA536" i="23"/>
  <c r="AA547" i="23"/>
  <c r="AA558" i="23"/>
  <c r="AA569" i="23"/>
  <c r="AA493" i="23"/>
  <c r="AA504" i="23"/>
  <c r="AA515" i="23"/>
  <c r="AA526" i="23"/>
  <c r="AA537" i="23"/>
  <c r="AA548" i="23"/>
  <c r="AA559" i="23"/>
  <c r="AA570" i="23"/>
  <c r="AA494" i="23"/>
  <c r="AA505" i="23"/>
  <c r="AA516" i="23"/>
  <c r="AA527" i="23"/>
  <c r="AA538" i="23"/>
  <c r="AA549" i="23"/>
  <c r="AA560" i="23"/>
  <c r="AA571" i="23"/>
  <c r="B4" i="23"/>
  <c r="A50" i="26"/>
  <c r="A45" i="26"/>
  <c r="A42" i="26"/>
  <c r="A17" i="26"/>
  <c r="A16" i="26"/>
  <c r="A40" i="26"/>
  <c r="A41" i="26"/>
  <c r="A43" i="26"/>
  <c r="A44" i="26"/>
  <c r="A46" i="26"/>
  <c r="A47" i="26"/>
  <c r="A48" i="26"/>
  <c r="A49" i="26"/>
  <c r="A51" i="26"/>
  <c r="A52" i="26"/>
  <c r="A53" i="26"/>
  <c r="A54" i="26"/>
  <c r="A55" i="26"/>
  <c r="A56" i="26"/>
  <c r="A57" i="26"/>
  <c r="B15" i="23"/>
  <c r="B229" i="23"/>
  <c r="B292" i="23"/>
  <c r="B561" i="23"/>
  <c r="B1" i="23"/>
  <c r="B517" i="23"/>
  <c r="B550" i="23"/>
  <c r="B539" i="23"/>
  <c r="B528" i="23"/>
  <c r="B506" i="23"/>
  <c r="B495" i="23"/>
  <c r="B484" i="23"/>
  <c r="B465" i="23"/>
  <c r="B454" i="23"/>
  <c r="B443" i="23"/>
  <c r="B432" i="23"/>
  <c r="B421" i="23"/>
  <c r="B410" i="23"/>
  <c r="B399" i="23"/>
  <c r="B388" i="23"/>
  <c r="B369" i="23"/>
  <c r="B347" i="23"/>
  <c r="B336" i="23"/>
  <c r="B325" i="23"/>
  <c r="B314" i="23"/>
  <c r="B303" i="23"/>
  <c r="B481" i="23"/>
  <c r="B385" i="23"/>
  <c r="B289" i="23"/>
  <c r="B193" i="23"/>
  <c r="B97" i="23"/>
  <c r="B273" i="23"/>
  <c r="B262" i="23"/>
  <c r="B251" i="23"/>
  <c r="B240" i="23"/>
  <c r="B218" i="23"/>
  <c r="B207" i="23"/>
  <c r="B196" i="23"/>
  <c r="B177" i="23"/>
  <c r="B166" i="23"/>
  <c r="B155" i="23"/>
  <c r="B144" i="23"/>
  <c r="B133" i="23"/>
  <c r="B122" i="23"/>
  <c r="B111" i="23"/>
  <c r="B100" i="23"/>
  <c r="B81" i="23"/>
  <c r="B70" i="23"/>
  <c r="B59" i="23"/>
  <c r="B48" i="23"/>
  <c r="B37" i="23"/>
  <c r="B26" i="23"/>
  <c r="AB571" i="23"/>
  <c r="AB570" i="23"/>
  <c r="AB569" i="23"/>
  <c r="AB568" i="23"/>
  <c r="AB567" i="23"/>
  <c r="AB566" i="23"/>
  <c r="AB565" i="23"/>
  <c r="AB564" i="23"/>
  <c r="AB560" i="23"/>
  <c r="AB559" i="23"/>
  <c r="AB558" i="23"/>
  <c r="AB557" i="23"/>
  <c r="AB556" i="23"/>
  <c r="AB555" i="23"/>
  <c r="AB554" i="23"/>
  <c r="AB553" i="23"/>
  <c r="AB549" i="23"/>
  <c r="AB548" i="23"/>
  <c r="AB547" i="23"/>
  <c r="AB546" i="23"/>
  <c r="AB545" i="23"/>
  <c r="AB544" i="23"/>
  <c r="AB543" i="23"/>
  <c r="AB542" i="23"/>
  <c r="AB538" i="23"/>
  <c r="AB537" i="23"/>
  <c r="AB536" i="23"/>
  <c r="AB535" i="23"/>
  <c r="AB534" i="23"/>
  <c r="AB533" i="23"/>
  <c r="AB532" i="23"/>
  <c r="AB531" i="23"/>
  <c r="AB527" i="23"/>
  <c r="AB526" i="23"/>
  <c r="AB525" i="23"/>
  <c r="AB524" i="23"/>
  <c r="AB523" i="23"/>
  <c r="AB522" i="23"/>
  <c r="AB521" i="23"/>
  <c r="AB520" i="23"/>
  <c r="AB516" i="23"/>
  <c r="AB515" i="23"/>
  <c r="AB514" i="23"/>
  <c r="AB513" i="23"/>
  <c r="AB512" i="23"/>
  <c r="AB511" i="23"/>
  <c r="AB510" i="23"/>
  <c r="AB509" i="23"/>
  <c r="AB505" i="23"/>
  <c r="AB504" i="23"/>
  <c r="AB503" i="23"/>
  <c r="AB502" i="23"/>
  <c r="AB501" i="23"/>
  <c r="AB500" i="23"/>
  <c r="AB499" i="23"/>
  <c r="AB498" i="23"/>
  <c r="AB494" i="23"/>
  <c r="AB493" i="23"/>
  <c r="AB492" i="23"/>
  <c r="AB491" i="23"/>
  <c r="AB490" i="23"/>
  <c r="AB489" i="23"/>
  <c r="AB488" i="23"/>
  <c r="AB487" i="23"/>
  <c r="AB471" i="23"/>
  <c r="AB472" i="23"/>
  <c r="AB473" i="23"/>
  <c r="AB474" i="23"/>
  <c r="AB460" i="23"/>
  <c r="AB461" i="23"/>
  <c r="AB462" i="23"/>
  <c r="AB463" i="23"/>
  <c r="AB449" i="23"/>
  <c r="AB450" i="23"/>
  <c r="AB451" i="23"/>
  <c r="AB452" i="23"/>
  <c r="AB438" i="23"/>
  <c r="AB439" i="23"/>
  <c r="AB440" i="23"/>
  <c r="AB441" i="23"/>
  <c r="AB427" i="23"/>
  <c r="AB428" i="23"/>
  <c r="AB429" i="23"/>
  <c r="AB430" i="23"/>
  <c r="AB416" i="23"/>
  <c r="AB417" i="23"/>
  <c r="AB418" i="23"/>
  <c r="AB419" i="23"/>
  <c r="AB405" i="23"/>
  <c r="AB406" i="23"/>
  <c r="AB407" i="23"/>
  <c r="AB408" i="23"/>
  <c r="AB393" i="23"/>
  <c r="AB394" i="23"/>
  <c r="AB395" i="23"/>
  <c r="AB396" i="23"/>
  <c r="AB397" i="23"/>
  <c r="AB375" i="23"/>
  <c r="AB376" i="23"/>
  <c r="AB377" i="23"/>
  <c r="AB378" i="23"/>
  <c r="AB364" i="23"/>
  <c r="AB365" i="23"/>
  <c r="AB366" i="23"/>
  <c r="AB367" i="23"/>
  <c r="AB353" i="23"/>
  <c r="AB354" i="23"/>
  <c r="AB355" i="23"/>
  <c r="AB356" i="23"/>
  <c r="AB342" i="23"/>
  <c r="AB343" i="23"/>
  <c r="AB344" i="23"/>
  <c r="AB345" i="23"/>
  <c r="AB331" i="23"/>
  <c r="AB332" i="23"/>
  <c r="AB333" i="23"/>
  <c r="AB334" i="23"/>
  <c r="AB320" i="23"/>
  <c r="AB321" i="23"/>
  <c r="AB322" i="23"/>
  <c r="AB323" i="23"/>
  <c r="AB309" i="23"/>
  <c r="AB310" i="23"/>
  <c r="AB311" i="23"/>
  <c r="AB312" i="23"/>
  <c r="AB298" i="23"/>
  <c r="AB299" i="23"/>
  <c r="AB300" i="23"/>
  <c r="AB301" i="23"/>
  <c r="AB279" i="23"/>
  <c r="AB280" i="23"/>
  <c r="AB281" i="23"/>
  <c r="AB282" i="23"/>
  <c r="AB268" i="23"/>
  <c r="AB269" i="23"/>
  <c r="AB270" i="23"/>
  <c r="AB271" i="23"/>
  <c r="AB257" i="23"/>
  <c r="AB258" i="23"/>
  <c r="AB259" i="23"/>
  <c r="AB260" i="23"/>
  <c r="AB246" i="23"/>
  <c r="AB247" i="23"/>
  <c r="AB248" i="23"/>
  <c r="AB249" i="23"/>
  <c r="AB235" i="23"/>
  <c r="AB236" i="23"/>
  <c r="AB237" i="23"/>
  <c r="AB238" i="23"/>
  <c r="AB224" i="23"/>
  <c r="AB225" i="23"/>
  <c r="AB226" i="23"/>
  <c r="AB227" i="23"/>
  <c r="AB213" i="23"/>
  <c r="AB214" i="23"/>
  <c r="AB215" i="23"/>
  <c r="AB216" i="23"/>
  <c r="AB202" i="23"/>
  <c r="AB203" i="23"/>
  <c r="AB204" i="23"/>
  <c r="AB205" i="23"/>
  <c r="AB183" i="23"/>
  <c r="AB184" i="23"/>
  <c r="AB185" i="23"/>
  <c r="AB186" i="23"/>
  <c r="AB172" i="23"/>
  <c r="AB173" i="23"/>
  <c r="AB174" i="23"/>
  <c r="AB175" i="23"/>
  <c r="AB161" i="23"/>
  <c r="AB162" i="23"/>
  <c r="AB163" i="23"/>
  <c r="AB164" i="23"/>
  <c r="AB150" i="23"/>
  <c r="AB151" i="23"/>
  <c r="AB152" i="23"/>
  <c r="AB153" i="23"/>
  <c r="AB139" i="23"/>
  <c r="AB140" i="23"/>
  <c r="AB141" i="23"/>
  <c r="AB142" i="23"/>
  <c r="AB128" i="23"/>
  <c r="AB129" i="23"/>
  <c r="AB130" i="23"/>
  <c r="AB131" i="23"/>
  <c r="AB117" i="23"/>
  <c r="AB118" i="23"/>
  <c r="AB119" i="23"/>
  <c r="AB120" i="23"/>
  <c r="AB106" i="23"/>
  <c r="AB107" i="23"/>
  <c r="AB108" i="23"/>
  <c r="AB109" i="23"/>
  <c r="AB87" i="23"/>
  <c r="AB88" i="23"/>
  <c r="AB89" i="23"/>
  <c r="AB90" i="23"/>
  <c r="AB76" i="23"/>
  <c r="AB77" i="23"/>
  <c r="AB78" i="23"/>
  <c r="AB79" i="23"/>
  <c r="AB65" i="23"/>
  <c r="AB66" i="23"/>
  <c r="AB67" i="23"/>
  <c r="AB68" i="23"/>
  <c r="AB54" i="23"/>
  <c r="AB55" i="23"/>
  <c r="AB56" i="23"/>
  <c r="AB57" i="23"/>
  <c r="AB43" i="23"/>
  <c r="AB44" i="23"/>
  <c r="AB45" i="23"/>
  <c r="AB46" i="23"/>
  <c r="AB32" i="23"/>
  <c r="AB33" i="23"/>
  <c r="AB34" i="23"/>
  <c r="AB35" i="23"/>
  <c r="AB21" i="23"/>
  <c r="AB22" i="23"/>
  <c r="AB23" i="23"/>
  <c r="AB24" i="23"/>
  <c r="AB10" i="23"/>
  <c r="AB11" i="23"/>
  <c r="AB12" i="23"/>
  <c r="AB13" i="23"/>
  <c r="AB475" i="23"/>
  <c r="AB470" i="23"/>
  <c r="AB469" i="23"/>
  <c r="AB468" i="23"/>
  <c r="AB464" i="23"/>
  <c r="AB459" i="23"/>
  <c r="AB458" i="23"/>
  <c r="AB457" i="23"/>
  <c r="AB453" i="23"/>
  <c r="AB448" i="23"/>
  <c r="AB447" i="23"/>
  <c r="AB446" i="23"/>
  <c r="AB442" i="23"/>
  <c r="AB437" i="23"/>
  <c r="AB436" i="23"/>
  <c r="AB435" i="23"/>
  <c r="AB431" i="23"/>
  <c r="AB426" i="23"/>
  <c r="AB425" i="23"/>
  <c r="AB424" i="23"/>
  <c r="AB420" i="23"/>
  <c r="AB415" i="23"/>
  <c r="AB414" i="23"/>
  <c r="AB413" i="23"/>
  <c r="AB409" i="23"/>
  <c r="AB404" i="23"/>
  <c r="AB403" i="23"/>
  <c r="AB402" i="23"/>
  <c r="AB398" i="23"/>
  <c r="AB392" i="23"/>
  <c r="AB391" i="23"/>
  <c r="AB379" i="23"/>
  <c r="AB374" i="23"/>
  <c r="AB373" i="23"/>
  <c r="AB372" i="23"/>
  <c r="AB368" i="23"/>
  <c r="AB363" i="23"/>
  <c r="AB362" i="23"/>
  <c r="AB361" i="23"/>
  <c r="AB357" i="23"/>
  <c r="AB352" i="23"/>
  <c r="AB351" i="23"/>
  <c r="AB350" i="23"/>
  <c r="AB346" i="23"/>
  <c r="AB341" i="23"/>
  <c r="AB340" i="23"/>
  <c r="AB339" i="23"/>
  <c r="AB335" i="23"/>
  <c r="AB330" i="23"/>
  <c r="AB329" i="23"/>
  <c r="AB328" i="23"/>
  <c r="AB324" i="23"/>
  <c r="AB319" i="23"/>
  <c r="AB318" i="23"/>
  <c r="AB317" i="23"/>
  <c r="AB313" i="23"/>
  <c r="AB308" i="23"/>
  <c r="AB307" i="23"/>
  <c r="AB306" i="23"/>
  <c r="AB302" i="23"/>
  <c r="AB297" i="23"/>
  <c r="AB296" i="23"/>
  <c r="AB295" i="23"/>
  <c r="AB283" i="23"/>
  <c r="AB278" i="23"/>
  <c r="AB277" i="23"/>
  <c r="AB276" i="23"/>
  <c r="AB272" i="23"/>
  <c r="AB267" i="23"/>
  <c r="AB266" i="23"/>
  <c r="AB265" i="23"/>
  <c r="AB261" i="23"/>
  <c r="AB256" i="23"/>
  <c r="AB255" i="23"/>
  <c r="AB254" i="23"/>
  <c r="AB250" i="23"/>
  <c r="AB245" i="23"/>
  <c r="AB244" i="23"/>
  <c r="AB243" i="23"/>
  <c r="AB239" i="23"/>
  <c r="AB234" i="23"/>
  <c r="AB233" i="23"/>
  <c r="AB232" i="23"/>
  <c r="AB228" i="23"/>
  <c r="AB223" i="23"/>
  <c r="AB222" i="23"/>
  <c r="AB221" i="23"/>
  <c r="AB217" i="23"/>
  <c r="AB212" i="23"/>
  <c r="AB211" i="23"/>
  <c r="AB210" i="23"/>
  <c r="AB206" i="23"/>
  <c r="AB201" i="23"/>
  <c r="AB200" i="23"/>
  <c r="AB199" i="23"/>
  <c r="AB187" i="23"/>
  <c r="AB182" i="23"/>
  <c r="AB181" i="23"/>
  <c r="AB180" i="23"/>
  <c r="AB176" i="23"/>
  <c r="AB171" i="23"/>
  <c r="AB170" i="23"/>
  <c r="AB169" i="23"/>
  <c r="AB165" i="23"/>
  <c r="AB160" i="23"/>
  <c r="AB159" i="23"/>
  <c r="AB158" i="23"/>
  <c r="AB154" i="23"/>
  <c r="AB149" i="23"/>
  <c r="AB148" i="23"/>
  <c r="AB147" i="23"/>
  <c r="AB143" i="23"/>
  <c r="AB138" i="23"/>
  <c r="AB137" i="23"/>
  <c r="AB136" i="23"/>
  <c r="AB132" i="23"/>
  <c r="AB127" i="23"/>
  <c r="AB126" i="23"/>
  <c r="AB125" i="23"/>
  <c r="AB121" i="23"/>
  <c r="AB116" i="23"/>
  <c r="AB115" i="23"/>
  <c r="AB114" i="23"/>
  <c r="AB110" i="23"/>
  <c r="AB105" i="23"/>
  <c r="AB104" i="23"/>
  <c r="AB103" i="23"/>
  <c r="AB91" i="23"/>
  <c r="AB86" i="23"/>
  <c r="AB85" i="23"/>
  <c r="AB84" i="23"/>
  <c r="AB80" i="23"/>
  <c r="AB75" i="23"/>
  <c r="AB74" i="23"/>
  <c r="AB73" i="23"/>
  <c r="AB69" i="23"/>
  <c r="AB64" i="23"/>
  <c r="AB63" i="23"/>
  <c r="AB62" i="23"/>
  <c r="AB58" i="23"/>
  <c r="AB53" i="23"/>
  <c r="AB52" i="23"/>
  <c r="AB51" i="23"/>
  <c r="AB47" i="23"/>
  <c r="AB42" i="23"/>
  <c r="AB41" i="23"/>
  <c r="AB40" i="23"/>
  <c r="AB36" i="23"/>
  <c r="AB31" i="23"/>
  <c r="AB30" i="23"/>
  <c r="AB29" i="23"/>
  <c r="AB25" i="23"/>
  <c r="AB20" i="23"/>
  <c r="AB19" i="23"/>
  <c r="AB18" i="23"/>
  <c r="AB14" i="23"/>
  <c r="AB9" i="23"/>
  <c r="AB8" i="23"/>
  <c r="AB7" i="23"/>
  <c r="M43" i="14"/>
  <c r="M45" i="14"/>
  <c r="C45" i="14"/>
  <c r="C44" i="14"/>
  <c r="C21" i="14"/>
  <c r="B56" i="22"/>
  <c r="D45" i="14"/>
  <c r="E45" i="14"/>
  <c r="F45" i="14"/>
  <c r="G45" i="14"/>
  <c r="H45" i="14"/>
  <c r="I45" i="14"/>
  <c r="K43" i="14"/>
  <c r="K20" i="14"/>
  <c r="J55" i="22"/>
  <c r="K45" i="14"/>
  <c r="K22" i="14"/>
  <c r="J57" i="22"/>
  <c r="N20" i="14"/>
  <c r="M55" i="22"/>
  <c r="N22" i="14"/>
  <c r="N24" i="14"/>
  <c r="N25" i="14"/>
  <c r="M60" i="22"/>
  <c r="N26" i="14"/>
  <c r="M61" i="22"/>
  <c r="D20" i="14"/>
  <c r="C55" i="22"/>
  <c r="E20" i="14"/>
  <c r="D55" i="22"/>
  <c r="F20" i="14"/>
  <c r="E55" i="22"/>
  <c r="G20" i="14"/>
  <c r="F55" i="22"/>
  <c r="H20" i="14"/>
  <c r="G55" i="22"/>
  <c r="I20" i="14"/>
  <c r="H55" i="22"/>
  <c r="J20" i="14"/>
  <c r="I55" i="22"/>
  <c r="L20" i="14"/>
  <c r="K55" i="22"/>
  <c r="C20" i="14"/>
  <c r="B55" i="22"/>
  <c r="M49" i="14"/>
  <c r="M48" i="14"/>
  <c r="L49" i="14"/>
  <c r="N45" i="14"/>
  <c r="I16" i="6"/>
  <c r="F16" i="6"/>
  <c r="C16" i="6"/>
  <c r="L16" i="6"/>
  <c r="G9" i="6"/>
  <c r="G10" i="6"/>
  <c r="C22" i="14"/>
  <c r="B57" i="22"/>
  <c r="I44" i="14"/>
  <c r="I21" i="14"/>
  <c r="H56" i="22"/>
  <c r="H47" i="14"/>
  <c r="G48" i="14"/>
  <c r="I22" i="14"/>
  <c r="H57" i="22"/>
  <c r="E44" i="14"/>
  <c r="E21" i="14"/>
  <c r="D56" i="22"/>
  <c r="D47" i="14"/>
  <c r="E22" i="14"/>
  <c r="D57" i="22"/>
  <c r="M57" i="22"/>
  <c r="M24" i="14"/>
  <c r="L25" i="14"/>
  <c r="K60" i="22"/>
  <c r="L45" i="14"/>
  <c r="L46" i="14"/>
  <c r="L23" i="14"/>
  <c r="K58" i="22"/>
  <c r="D51" i="22"/>
  <c r="M20" i="14"/>
  <c r="L55" i="22"/>
  <c r="K44" i="14"/>
  <c r="K21" i="14"/>
  <c r="J56" i="22"/>
  <c r="D44" i="14"/>
  <c r="D21" i="14"/>
  <c r="C56" i="22"/>
  <c r="D22" i="14"/>
  <c r="C57" i="22"/>
  <c r="C47" i="14"/>
  <c r="C24" i="14"/>
  <c r="B59" i="22"/>
  <c r="L47" i="14"/>
  <c r="L24" i="14"/>
  <c r="K59" i="22"/>
  <c r="M22" i="14"/>
  <c r="L57" i="22"/>
  <c r="M44" i="14"/>
  <c r="M21" i="14"/>
  <c r="L56" i="22"/>
  <c r="J47" i="14"/>
  <c r="I48" i="14"/>
  <c r="H49" i="14"/>
  <c r="H26" i="14"/>
  <c r="G61" i="22"/>
  <c r="N21" i="14"/>
  <c r="M56" i="22"/>
  <c r="C46" i="14"/>
  <c r="C23" i="14"/>
  <c r="B58" i="22"/>
  <c r="M26" i="14"/>
  <c r="L61" i="22"/>
  <c r="M47" i="14"/>
  <c r="N44" i="14"/>
  <c r="M25" i="14"/>
  <c r="L60" i="22"/>
  <c r="N23" i="14"/>
  <c r="M58" i="22"/>
  <c r="M59" i="22"/>
  <c r="F44" i="14"/>
  <c r="F21" i="14"/>
  <c r="E56" i="22"/>
  <c r="F22" i="14"/>
  <c r="E57" i="22"/>
  <c r="E47" i="14"/>
  <c r="C48" i="14"/>
  <c r="C25" i="14"/>
  <c r="B60" i="22"/>
  <c r="D24" i="14"/>
  <c r="C59" i="22"/>
  <c r="H44" i="14"/>
  <c r="H21" i="14"/>
  <c r="G56" i="22"/>
  <c r="H22" i="14"/>
  <c r="G57" i="22"/>
  <c r="G22" i="14"/>
  <c r="F57" i="22"/>
  <c r="G44" i="14"/>
  <c r="G21" i="14"/>
  <c r="F56" i="22"/>
  <c r="F47" i="14"/>
  <c r="D46" i="14"/>
  <c r="D23" i="14"/>
  <c r="C58" i="22"/>
  <c r="H5" i="14"/>
  <c r="L10" i="14"/>
  <c r="G47" i="14"/>
  <c r="G46" i="14"/>
  <c r="G23" i="14"/>
  <c r="F58" i="22"/>
  <c r="I25" i="14"/>
  <c r="H60" i="22"/>
  <c r="H24" i="14"/>
  <c r="G59" i="22"/>
  <c r="H46" i="14"/>
  <c r="H23" i="14"/>
  <c r="G58" i="22"/>
  <c r="J24" i="14"/>
  <c r="I59" i="22"/>
  <c r="L48" i="14"/>
  <c r="K49" i="14"/>
  <c r="M46" i="14"/>
  <c r="D48" i="14"/>
  <c r="C49" i="14"/>
  <c r="C26" i="14"/>
  <c r="B61" i="22"/>
  <c r="E46" i="14"/>
  <c r="E23" i="14"/>
  <c r="D58" i="22"/>
  <c r="E24" i="14"/>
  <c r="D59" i="22"/>
  <c r="F46" i="14"/>
  <c r="F23" i="14"/>
  <c r="E58" i="22"/>
  <c r="F24" i="14"/>
  <c r="E59" i="22"/>
  <c r="E48" i="14"/>
  <c r="D25" i="14"/>
  <c r="C60" i="22"/>
  <c r="D49" i="14"/>
  <c r="D26" i="14"/>
  <c r="C61" i="22"/>
  <c r="E25" i="14"/>
  <c r="D60" i="22"/>
  <c r="F49" i="14"/>
  <c r="F26" i="14"/>
  <c r="E61" i="22"/>
  <c r="G25" i="14"/>
  <c r="F60" i="22"/>
  <c r="L26" i="14"/>
  <c r="K61" i="22"/>
  <c r="L44" i="14"/>
  <c r="L21" i="14"/>
  <c r="K56" i="22"/>
  <c r="L22" i="14"/>
  <c r="K57" i="22"/>
  <c r="K26" i="14"/>
  <c r="J61" i="22"/>
  <c r="M23" i="14"/>
  <c r="L58" i="22"/>
  <c r="K47" i="14"/>
  <c r="J45" i="14"/>
  <c r="F48" i="14"/>
  <c r="K48" i="14"/>
  <c r="G24" i="14"/>
  <c r="F59" i="22"/>
  <c r="L59" i="22"/>
  <c r="J49" i="14"/>
  <c r="J26" i="14"/>
  <c r="I61" i="22"/>
  <c r="K25" i="14"/>
  <c r="J60" i="22"/>
  <c r="F25" i="14"/>
  <c r="E60" i="22"/>
  <c r="E49" i="14"/>
  <c r="E26" i="14"/>
  <c r="D61" i="22"/>
  <c r="J22" i="14"/>
  <c r="I57" i="22"/>
  <c r="J46" i="14"/>
  <c r="J23" i="14"/>
  <c r="I58" i="22"/>
  <c r="J44" i="14"/>
  <c r="J21" i="14"/>
  <c r="I56" i="22"/>
  <c r="I47" i="14"/>
  <c r="J48" i="14"/>
  <c r="K24" i="14"/>
  <c r="J59" i="22"/>
  <c r="K46" i="14"/>
  <c r="K23" i="14"/>
  <c r="J58" i="22"/>
  <c r="J25" i="14"/>
  <c r="I60" i="22"/>
  <c r="I49" i="14"/>
  <c r="I26" i="14"/>
  <c r="H61" i="22"/>
  <c r="H48" i="14"/>
  <c r="I24" i="14"/>
  <c r="H59" i="22"/>
  <c r="I46" i="14"/>
  <c r="I23" i="14"/>
  <c r="H58" i="22"/>
  <c r="G49" i="14"/>
  <c r="G26" i="14"/>
  <c r="F61" i="22"/>
  <c r="H25" i="14"/>
  <c r="G60" i="22"/>
  <c r="B36" i="26"/>
  <c r="Q190" i="23"/>
  <c r="B25" i="26"/>
  <c r="B19" i="26"/>
  <c r="I191" i="23"/>
  <c r="B39" i="26"/>
  <c r="Q382" i="23"/>
  <c r="Q191" i="23"/>
  <c r="B54" i="26"/>
  <c r="B28" i="26"/>
  <c r="B17" i="26"/>
  <c r="I383" i="23"/>
  <c r="B41" i="26"/>
  <c r="Q383" i="23"/>
  <c r="I382" i="23"/>
  <c r="I381" i="23"/>
  <c r="Q287" i="23"/>
  <c r="Q286" i="23"/>
  <c r="B32" i="26"/>
  <c r="Q95" i="23"/>
  <c r="Q94" i="23"/>
  <c r="L587" i="23"/>
  <c r="I95" i="23"/>
  <c r="I94" i="23"/>
  <c r="B53" i="26"/>
  <c r="I576" i="23"/>
  <c r="Q384" i="23"/>
  <c r="I384" i="23"/>
  <c r="B33" i="26"/>
  <c r="B31" i="26"/>
  <c r="I288" i="23"/>
  <c r="B27" i="26"/>
  <c r="Q288" i="23"/>
  <c r="B26" i="26"/>
  <c r="B24" i="26"/>
  <c r="Q192" i="23"/>
  <c r="I192" i="23"/>
  <c r="B16" i="26"/>
  <c r="B14" i="26"/>
  <c r="B12" i="26"/>
  <c r="B11" i="26"/>
  <c r="I96" i="23"/>
  <c r="Q96" i="23"/>
  <c r="B45" i="26"/>
  <c r="Q576" i="23"/>
  <c r="B55" i="26"/>
  <c r="B47" i="26"/>
  <c r="Q575" i="23"/>
  <c r="I480" i="23"/>
  <c r="Q480" i="23"/>
  <c r="B44" i="26"/>
  <c r="I575" i="23"/>
  <c r="I574" i="23"/>
  <c r="I573" i="23"/>
  <c r="Q479" i="23"/>
  <c r="Q478" i="23"/>
  <c r="Q477" i="23"/>
  <c r="I477" i="23"/>
  <c r="Q574" i="23"/>
  <c r="Q573" i="23"/>
  <c r="I479" i="23"/>
  <c r="B42" i="26"/>
  <c r="B57" i="26"/>
  <c r="B49" i="26"/>
  <c r="B52" i="26"/>
  <c r="B56" i="26"/>
  <c r="B48" i="26"/>
  <c r="B51" i="26"/>
  <c r="B43" i="26"/>
  <c r="I478" i="23"/>
  <c r="B50" i="26"/>
  <c r="I287" i="23"/>
  <c r="AC126" i="23"/>
  <c r="D607" i="23"/>
  <c r="L588" i="23"/>
  <c r="L589" i="23"/>
  <c r="T574" i="23"/>
  <c r="L599" i="23"/>
  <c r="T478" i="23"/>
  <c r="L598" i="23"/>
  <c r="L590" i="23"/>
  <c r="L591" i="23"/>
  <c r="B22" i="26"/>
  <c r="Q189" i="23"/>
  <c r="B20" i="26"/>
  <c r="B18" i="26"/>
  <c r="D606" i="23"/>
  <c r="Q93" i="23"/>
  <c r="B13" i="26"/>
  <c r="Q381" i="23"/>
  <c r="T382" i="23"/>
  <c r="L597" i="23"/>
  <c r="I285" i="23"/>
  <c r="Q285" i="23"/>
  <c r="I10" i="14"/>
  <c r="G15" i="14"/>
  <c r="K9" i="14"/>
  <c r="K11" i="14"/>
  <c r="J11" i="14"/>
  <c r="H15" i="14"/>
  <c r="K10" i="14"/>
  <c r="D14" i="14"/>
  <c r="M11" i="14"/>
  <c r="E10" i="14"/>
  <c r="N9" i="14"/>
  <c r="J14" i="14"/>
  <c r="F10" i="14"/>
  <c r="H14" i="14"/>
  <c r="D9" i="14"/>
  <c r="H13" i="14"/>
  <c r="L13" i="14"/>
  <c r="H10" i="14"/>
  <c r="J9" i="14"/>
  <c r="G10" i="14"/>
  <c r="I13" i="14"/>
  <c r="C14" i="14"/>
  <c r="C11" i="14"/>
  <c r="K14" i="14"/>
  <c r="G9" i="14"/>
  <c r="J10" i="14"/>
  <c r="L12" i="14"/>
  <c r="C10" i="14"/>
  <c r="F15" i="14"/>
  <c r="E9" i="14"/>
  <c r="D10" i="14"/>
  <c r="L11" i="14"/>
  <c r="I9" i="14"/>
  <c r="D15" i="14"/>
  <c r="K13" i="14"/>
  <c r="K12" i="14"/>
  <c r="M10" i="14"/>
  <c r="H11" i="14"/>
  <c r="L9" i="14"/>
  <c r="J15" i="14"/>
  <c r="E15" i="14"/>
  <c r="I11" i="14"/>
  <c r="E12" i="14"/>
  <c r="D12" i="14"/>
  <c r="F12" i="14"/>
  <c r="G12" i="14"/>
  <c r="J12" i="14"/>
  <c r="I14" i="14"/>
  <c r="E11" i="14"/>
  <c r="F9" i="14"/>
  <c r="C9" i="14"/>
  <c r="G13" i="14"/>
  <c r="I12" i="14"/>
  <c r="M9" i="14"/>
  <c r="H12" i="14"/>
  <c r="J13" i="14"/>
  <c r="D11" i="14"/>
  <c r="F14" i="14"/>
  <c r="G11" i="14"/>
  <c r="C12" i="14"/>
  <c r="F13" i="14"/>
  <c r="C15" i="14"/>
  <c r="F11" i="14"/>
  <c r="H9" i="14"/>
  <c r="I15" i="14"/>
  <c r="E13" i="14"/>
  <c r="D13" i="14"/>
  <c r="C13" i="14"/>
  <c r="E14" i="14"/>
  <c r="G14" i="14"/>
  <c r="L585" i="23"/>
  <c r="T286" i="23"/>
  <c r="L596" i="23"/>
  <c r="B29" i="26"/>
  <c r="I190" i="23"/>
  <c r="L586" i="23"/>
  <c r="I189" i="23"/>
  <c r="T190" i="23"/>
  <c r="L595" i="23"/>
  <c r="B15" i="26"/>
  <c r="I93" i="23"/>
  <c r="T94" i="23"/>
  <c r="L584" i="23"/>
  <c r="L594" i="23"/>
  <c r="B581" i="23"/>
  <c r="B602" i="23"/>
  <c r="A9" i="22"/>
  <c r="M9" i="22"/>
</calcChain>
</file>

<file path=xl/sharedStrings.xml><?xml version="1.0" encoding="utf-8"?>
<sst xmlns="http://schemas.openxmlformats.org/spreadsheetml/2006/main" count="2574" uniqueCount="277">
  <si>
    <t>Client Information</t>
  </si>
  <si>
    <t>Client Goals</t>
  </si>
  <si>
    <t xml:space="preserve"> Weight Class (if applicable)</t>
  </si>
  <si>
    <t>Men's Sub-Junior &amp; Junior only-up to 53.0 kg</t>
  </si>
  <si>
    <t>Name</t>
  </si>
  <si>
    <t>Height</t>
  </si>
  <si>
    <t xml:space="preserve">1.) </t>
  </si>
  <si>
    <t>Men's 105.0 kg Class from 93.01 kg up to 105.0 kg</t>
  </si>
  <si>
    <t xml:space="preserve"> Men's 59.0 kg Class up to 59.0 kg </t>
  </si>
  <si>
    <t>Age</t>
  </si>
  <si>
    <t>Weight</t>
  </si>
  <si>
    <t xml:space="preserve">2.) </t>
  </si>
  <si>
    <t>Men's 66.0 kg Class from 59.01 kg up to 66.0 kg</t>
  </si>
  <si>
    <t>Gender</t>
  </si>
  <si>
    <t>Goal Weight</t>
  </si>
  <si>
    <t>3.)</t>
  </si>
  <si>
    <t xml:space="preserve">Men's   74.0 kg Class from 66.01 kg up to 74.0 kg </t>
  </si>
  <si>
    <t>Men's 83.0 kg Class from 74.01 kg up to 83.0 kg</t>
  </si>
  <si>
    <t>For Contest Prep (Hide Rows If Not Applicable)</t>
  </si>
  <si>
    <t xml:space="preserve">Men's  93.0 kg Class from 83.01 kg up to 93.0 kg </t>
  </si>
  <si>
    <t>Contest Dates</t>
  </si>
  <si>
    <t>Weeks Out</t>
  </si>
  <si>
    <t>Contest Name</t>
  </si>
  <si>
    <t>Brody Building 2015</t>
  </si>
  <si>
    <t xml:space="preserve">Men's 120.0 kg Class from 105.01 kg up to 120.0 kg </t>
  </si>
  <si>
    <t>2nd Contest Date - DD Month YYYY</t>
  </si>
  <si>
    <t xml:space="preserve">Men's 120.0+ kg Class from 120.01 kg up to unlimited </t>
  </si>
  <si>
    <t>3rd Contest Date - DD Month YYYY</t>
  </si>
  <si>
    <t xml:space="preserve">Women's Sub-Junior &amp; Junior only-up to 43.0 kg </t>
  </si>
  <si>
    <t>Women's 47.0 kg Class up to 47.0 k</t>
  </si>
  <si>
    <t>Current PRs</t>
  </si>
  <si>
    <t>Women's 52.0 kg Class from 47.01 kg up to 52.0 kg</t>
  </si>
  <si>
    <t>Squat</t>
  </si>
  <si>
    <t>Bench</t>
  </si>
  <si>
    <t>Deadlift</t>
  </si>
  <si>
    <t>OHP</t>
  </si>
  <si>
    <t>Women's 57.0 kg Class from 52.01 kg up to 57.0 kg</t>
  </si>
  <si>
    <t>1RM</t>
  </si>
  <si>
    <t>Reps</t>
  </si>
  <si>
    <t>Women's 63.0 kg Class from 57.01 kg up to 63.0 kg</t>
  </si>
  <si>
    <t>Women's 72.0 kg Class from 63.01 kg up to 72.0 k</t>
  </si>
  <si>
    <t>Women's 84.0 kg Class from 72.01 kg up to 84.0 k</t>
  </si>
  <si>
    <t>Macrocycle</t>
  </si>
  <si>
    <t>Women's  84.0+ kg Class from 84.01 kg up to unlimited</t>
  </si>
  <si>
    <t>Mesocycle 1</t>
  </si>
  <si>
    <t>Mesocycle 2</t>
  </si>
  <si>
    <t>Mesocycle 3</t>
  </si>
  <si>
    <t>Mesocycle 4</t>
  </si>
  <si>
    <t>Mesocycle 5</t>
  </si>
  <si>
    <t>Mesocycle 6</t>
  </si>
  <si>
    <t>Mesocycle 7</t>
  </si>
  <si>
    <t>Mesocycle 8</t>
  </si>
  <si>
    <t>Monday</t>
  </si>
  <si>
    <t>Tuesday</t>
  </si>
  <si>
    <t>Wednesday</t>
  </si>
  <si>
    <t>Thursday</t>
  </si>
  <si>
    <t>Friday</t>
  </si>
  <si>
    <t>Saturday</t>
  </si>
  <si>
    <t>Sunday</t>
  </si>
  <si>
    <t>Week 1</t>
  </si>
  <si>
    <t>Week 2</t>
  </si>
  <si>
    <t>Week 3</t>
  </si>
  <si>
    <t>Week 4</t>
  </si>
  <si>
    <t>Week 5</t>
  </si>
  <si>
    <t>Week 6</t>
  </si>
  <si>
    <t>Session 1 Monday</t>
  </si>
  <si>
    <t>Session 2 Wednesday</t>
  </si>
  <si>
    <t>Session 3 Friday</t>
  </si>
  <si>
    <t>Control Panel</t>
  </si>
  <si>
    <t>(A) Box ^Squat</t>
  </si>
  <si>
    <t>(A) 3 Second Pause ^Bench</t>
  </si>
  <si>
    <t>(A) Hover ^Deadlift</t>
  </si>
  <si>
    <t>Choose No. of Sessions/Week</t>
  </si>
  <si>
    <t>(B1) Staggered Stance RDL</t>
  </si>
  <si>
    <t>(B1) Incline Dumbbell press</t>
  </si>
  <si>
    <t>(B1) Front Squat/Zombie Squat</t>
  </si>
  <si>
    <t>(B2) RNT Split Squat</t>
  </si>
  <si>
    <t>(B2) Seated Cable Row</t>
  </si>
  <si>
    <t>(B2) Single Leg RDL</t>
  </si>
  <si>
    <t>(C1) Leg Extensions</t>
  </si>
  <si>
    <t>(C1) Single Arm Half  kneeling Dumbbell Shoulder Press</t>
  </si>
  <si>
    <t>(C1) Banded TKE</t>
  </si>
  <si>
    <t>(C2) Leg Curls</t>
  </si>
  <si>
    <t>(C2) Face Pulls</t>
  </si>
  <si>
    <t>(C2) Side Plank</t>
  </si>
  <si>
    <t>(D1) Glute Bridge March</t>
  </si>
  <si>
    <t>(D1) Hammer Curl</t>
  </si>
  <si>
    <t>(C3) Hip Airplane</t>
  </si>
  <si>
    <t>Choose No. of Weeks in this Block</t>
  </si>
  <si>
    <t>(D2) Bird Dog</t>
  </si>
  <si>
    <t>(D2) Cable Tricep Push Downs</t>
  </si>
  <si>
    <t>Resets to 6 Sessions/Week 8 Week Block</t>
  </si>
  <si>
    <t>Session 4 Saturday</t>
  </si>
  <si>
    <t>Session 5</t>
  </si>
  <si>
    <t>Session 6</t>
  </si>
  <si>
    <t>Work Space</t>
  </si>
  <si>
    <t>(A1) Flat Bench Dumbbell Bench</t>
  </si>
  <si>
    <t>(A1) Five</t>
  </si>
  <si>
    <t>(A1) Six</t>
  </si>
  <si>
    <t>(A2) Single Arm Dumbbell Row</t>
  </si>
  <si>
    <t>(A2) Five</t>
  </si>
  <si>
    <t>(A2) Six</t>
  </si>
  <si>
    <t>(B1) Overhead Press</t>
  </si>
  <si>
    <t>(B1) Five</t>
  </si>
  <si>
    <t>(B1) Six</t>
  </si>
  <si>
    <t>(B2) Lat Pulldown</t>
  </si>
  <si>
    <t>(B2) Five</t>
  </si>
  <si>
    <t>(B2) Six</t>
  </si>
  <si>
    <t>(C1) Overhead Dumbbell Tricep Extension</t>
  </si>
  <si>
    <t>(C1) Five</t>
  </si>
  <si>
    <t>(C1) Six</t>
  </si>
  <si>
    <t>(C2) Single Arm Ext Rota Vertical</t>
  </si>
  <si>
    <t>(C2) Five</t>
  </si>
  <si>
    <t>(C2) Six</t>
  </si>
  <si>
    <t>(C3) Zottman Curl</t>
  </si>
  <si>
    <t>(C3) Five</t>
  </si>
  <si>
    <t>(C3) Six</t>
  </si>
  <si>
    <t>(D1) Five</t>
  </si>
  <si>
    <t>(D1) Six</t>
  </si>
  <si>
    <t>Set 1</t>
  </si>
  <si>
    <t>Set 2</t>
  </si>
  <si>
    <t>Set 3</t>
  </si>
  <si>
    <t>Set 4</t>
  </si>
  <si>
    <t>Set 5</t>
  </si>
  <si>
    <t>Set 6</t>
  </si>
  <si>
    <t>Session1</t>
  </si>
  <si>
    <t>Volume Load</t>
  </si>
  <si>
    <t>Average RIR</t>
  </si>
  <si>
    <t>Week</t>
  </si>
  <si>
    <t>Sets</t>
  </si>
  <si>
    <t>Load</t>
  </si>
  <si>
    <t>Rest</t>
  </si>
  <si>
    <t>Tempo</t>
  </si>
  <si>
    <t>RIR</t>
  </si>
  <si>
    <t>W</t>
  </si>
  <si>
    <t>R</t>
  </si>
  <si>
    <t>2 Miin</t>
  </si>
  <si>
    <t>Week 7</t>
  </si>
  <si>
    <t>"</t>
  </si>
  <si>
    <t>Week 8</t>
  </si>
  <si>
    <t>60-90 sec</t>
  </si>
  <si>
    <t>2-4</t>
  </si>
  <si>
    <t>Week 1 Total Volume</t>
  </si>
  <si>
    <t>Week 2 Total Volume</t>
  </si>
  <si>
    <t>Monthly Session Volume</t>
  </si>
  <si>
    <t>Week 3 Total Volume</t>
  </si>
  <si>
    <t>Week 4 Total Volume</t>
  </si>
  <si>
    <t>Week 5 Total Volume</t>
  </si>
  <si>
    <t>Week 6 Total Volume</t>
  </si>
  <si>
    <t>Week 7 Total Volume</t>
  </si>
  <si>
    <t>Week 8 Total Volume</t>
  </si>
  <si>
    <t>Session2</t>
  </si>
  <si>
    <t>Max 3</t>
  </si>
  <si>
    <t>1/1/1/1</t>
  </si>
  <si>
    <t>90 Sec</t>
  </si>
  <si>
    <t>5</t>
  </si>
  <si>
    <t>2 mins</t>
  </si>
  <si>
    <t>90 sec</t>
  </si>
  <si>
    <t>Band</t>
  </si>
  <si>
    <t>Session3</t>
  </si>
  <si>
    <t>TUT is for each side</t>
  </si>
  <si>
    <t>TUT</t>
  </si>
  <si>
    <t>10 sec</t>
  </si>
  <si>
    <t>10s</t>
  </si>
  <si>
    <t>15 Sec</t>
  </si>
  <si>
    <t>15s</t>
  </si>
  <si>
    <t>20 Sec</t>
  </si>
  <si>
    <t>Session4</t>
  </si>
  <si>
    <t>4mins</t>
  </si>
  <si>
    <t>AMRAP</t>
  </si>
  <si>
    <t>Session5</t>
  </si>
  <si>
    <t>Session6</t>
  </si>
  <si>
    <t>Monthly TotalVolume</t>
  </si>
  <si>
    <t>Session 1 Total Volume</t>
  </si>
  <si>
    <t>Session 2 Total Volume</t>
  </si>
  <si>
    <t>Session 3 Total Volume</t>
  </si>
  <si>
    <t>Session 4 Total Volume</t>
  </si>
  <si>
    <t>Session 5 Total Volume</t>
  </si>
  <si>
    <t>Session 6 Total Volume</t>
  </si>
  <si>
    <t>Total</t>
  </si>
  <si>
    <t xml:space="preserve">Total SBD Volume </t>
  </si>
  <si>
    <t>This Section Calculates the Total volume for all Squat
Bench and Deadlift movements patterns in the entire block</t>
  </si>
  <si>
    <t>Movement</t>
  </si>
  <si>
    <t>Volume</t>
  </si>
  <si>
    <t>Lift</t>
  </si>
  <si>
    <t>Predicted 1RM</t>
  </si>
  <si>
    <t>&lt;&lt;&lt;do not edit this cell</t>
  </si>
  <si>
    <t>RPE</t>
  </si>
  <si>
    <t>-</t>
  </si>
  <si>
    <t>adjustments less than three reps (low rep dominant)</t>
  </si>
  <si>
    <t>formula:</t>
  </si>
  <si>
    <t xml:space="preserve"> = percentage ^ A </t>
  </si>
  <si>
    <t>high rep dominant:</t>
  </si>
  <si>
    <t xml:space="preserve"> (A-value probably 0.6 - 0.95)</t>
  </si>
  <si>
    <t>higher rep dominant athletes can perform reps at higher %1RM</t>
  </si>
  <si>
    <t>A:</t>
  </si>
  <si>
    <t>(normal = 1)</t>
  </si>
  <si>
    <t>low rep dominant:</t>
  </si>
  <si>
    <t>(A-value probably 1.05-1.3)</t>
  </si>
  <si>
    <t>lower rep dominant athletes cannot perform high reps with higher %1RMs</t>
  </si>
  <si>
    <t>adjustments greater than three reps (high rep dominant)</t>
  </si>
  <si>
    <t>Standard Table</t>
  </si>
  <si>
    <t>Mobility Warm-Up and Cool Down</t>
  </si>
  <si>
    <t>Important</t>
  </si>
  <si>
    <t>This is your warm up and injury prevention. It is just as important as the main work out. Don't skip it or water it down! Do each movement as perscribed and execute with intention!</t>
  </si>
  <si>
    <t>Pre Workout</t>
  </si>
  <si>
    <t>Warm up/Injury Prevention</t>
  </si>
  <si>
    <t xml:space="preserve">Dynamic Warm Up </t>
  </si>
  <si>
    <t>Knees to Chest x10 Each Leg</t>
  </si>
  <si>
    <t>Open the Gate x10 Each Leg</t>
  </si>
  <si>
    <t>Close the Gate x10 Each Leg</t>
  </si>
  <si>
    <t>Hip Airplane x10 Each Leg</t>
  </si>
  <si>
    <t>Gorilla Squat and Reach x10</t>
  </si>
  <si>
    <t>Cat Camel x10</t>
  </si>
  <si>
    <t>T-Spine Rotation x10 Each Side</t>
  </si>
  <si>
    <t xml:space="preserve">T-Spine Downward Dog x10 </t>
  </si>
  <si>
    <t>High Plank Spiderman x10 Each Leg</t>
  </si>
  <si>
    <t>Hip Opener x10</t>
  </si>
  <si>
    <t>Hip Hinge Adductor x10 Each Leg</t>
  </si>
  <si>
    <t>Monster Walks 10 steps forward 10 steps back</t>
  </si>
  <si>
    <t>Post Workout</t>
  </si>
  <si>
    <t xml:space="preserve">Cool down and Stretch </t>
  </si>
  <si>
    <t>Neck and Trapezius</t>
  </si>
  <si>
    <t>Basic Couch Stretch or Advanced Coutch Stretch with Dowel</t>
  </si>
  <si>
    <t>Spiderman Stretch</t>
  </si>
  <si>
    <t>Adductor Stretch</t>
  </si>
  <si>
    <t>Child's Pose</t>
  </si>
  <si>
    <t>Single Arm Childs Pose</t>
  </si>
  <si>
    <t>Deltoids and T-Spine Stretch</t>
  </si>
  <si>
    <t>Hips and Forearm</t>
  </si>
  <si>
    <t>Wrists - Forearms and Extensors</t>
  </si>
  <si>
    <t>90 - 90 Hips and Glutes</t>
  </si>
  <si>
    <t>Modified J Curl</t>
  </si>
  <si>
    <t>Chest, Bicep and Shoulder Stretch</t>
  </si>
  <si>
    <t>Cool Down/Stretch</t>
  </si>
  <si>
    <t>Description</t>
  </si>
  <si>
    <t>Neck Stretch</t>
  </si>
  <si>
    <t>Hands on Glutes- elbows back - staggered stance-squeeze glute of rear leg-try to touch elbows together- crush grape with belly button.</t>
  </si>
  <si>
    <t>Upper Back/ Hip Flexor</t>
  </si>
  <si>
    <t>Reach hands forward- round upper back-  staggered stance-squeeze glute of rear Open Shoulder Blades, crush grape with belly button.</t>
  </si>
  <si>
    <t>Quads</t>
  </si>
  <si>
    <t>One Heel to butt-hold ankle-one hand for support- Keep Knees together- release gently</t>
  </si>
  <si>
    <t>Hamstrings</t>
  </si>
  <si>
    <t>Find a ledge that is at Hip Height.Rest the heel on the ledge and lock the knee point the toe to your shin. Your standing leg should be straight and your spine should be neutral.</t>
  </si>
  <si>
    <t>Glute Stretch</t>
  </si>
  <si>
    <t>Supine position-one leg at 90 degrees- with the other leg place the ankle on the knee of bent leg - push bent leg towards chest</t>
  </si>
  <si>
    <t>Lumbar Stretch</t>
  </si>
  <si>
    <t>Supine position-one leg at 90 degrees-try to rotate at the waist and touch knee to floor-keep shoulders on the floor.</t>
  </si>
  <si>
    <t>Macrocycle Analytics</t>
  </si>
  <si>
    <t>Add the total volumes for mesocycles</t>
  </si>
  <si>
    <t>Meso 1</t>
  </si>
  <si>
    <t>Meso 2</t>
  </si>
  <si>
    <t>Meso 3</t>
  </si>
  <si>
    <t>Meso 4</t>
  </si>
  <si>
    <t>Meso 5</t>
  </si>
  <si>
    <t>Meso 6</t>
  </si>
  <si>
    <t>Meso 7</t>
  </si>
  <si>
    <t>Meso 8</t>
  </si>
  <si>
    <t xml:space="preserve">Meso 9 </t>
  </si>
  <si>
    <t>Meso 10</t>
  </si>
  <si>
    <t>Meso 11</t>
  </si>
  <si>
    <t>Meso 12</t>
  </si>
  <si>
    <t>1RM Data</t>
  </si>
  <si>
    <t>Mesocycle</t>
  </si>
  <si>
    <t>Calculator:</t>
  </si>
  <si>
    <t>When looking to fine-tune a client's training based on 1RM progress data, ask the following:</t>
  </si>
  <si>
    <t>Did the jump in 1RM come after higher or lower training volumes than usual?</t>
  </si>
  <si>
    <t>With what frequency was each lift trained in the mesocycles preceding the best progress in 1RM?</t>
  </si>
  <si>
    <t>What were the main rep schemes used for the main lifts during the mesocycles preceding the best progress in 1RM?</t>
  </si>
  <si>
    <t>Were any assistance exercises used? If so, which ones, and what was the volume split between main/assistance moves?</t>
  </si>
  <si>
    <t>How aggressive was the weekly progression with the mesocycle directly preceding the 1RM changes?</t>
  </si>
  <si>
    <t>What was the nutritional status of the client during the best progress in 1RM data?</t>
  </si>
  <si>
    <t xml:space="preserve">How was the client sleeping during these periods? </t>
  </si>
  <si>
    <t>How much life stress did the client have at this point?</t>
  </si>
  <si>
    <t>Was the client coming back from injury at this point?</t>
  </si>
  <si>
    <t>What is the training age of this lifter?</t>
  </si>
  <si>
    <t>20s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</si>
</sst>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0&quot; kg&quot;"/>
  </numFmts>
  <fonts count="45" x14ac:knownFonts="1">
    <font>
      <sz val="11"/>
      <color theme="1"/>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0"/>
      <name val="Arial"/>
      <family val="2"/>
    </font>
    <font>
      <u/>
      <sz val="10"/>
      <color theme="10"/>
      <name val="Arial"/>
      <family val="2"/>
    </font>
    <font>
      <sz val="12"/>
      <color theme="1"/>
      <name val="Calibri"/>
      <family val="2"/>
      <scheme val="minor"/>
    </font>
    <font>
      <sz val="11"/>
      <color theme="1"/>
      <name val="Calibri"/>
      <family val="2"/>
      <scheme val="minor"/>
    </font>
    <font>
      <b/>
      <sz val="11"/>
      <color theme="0"/>
      <name val="Fira Sans"/>
      <family val="2"/>
    </font>
    <font>
      <sz val="11"/>
      <color theme="0"/>
      <name val="Fira Sans"/>
      <family val="2"/>
    </font>
    <font>
      <sz val="11"/>
      <color theme="1"/>
      <name val="Fira Sans"/>
      <family val="2"/>
    </font>
    <font>
      <sz val="11"/>
      <color rgb="FFFF0000"/>
      <name val="Fira Sans"/>
      <family val="2"/>
    </font>
    <font>
      <u/>
      <sz val="11"/>
      <color theme="10"/>
      <name val="Fira Sans"/>
      <family val="2"/>
    </font>
    <font>
      <sz val="7"/>
      <color theme="1"/>
      <name val="Fira Sans"/>
      <family val="2"/>
    </font>
    <font>
      <sz val="7"/>
      <color theme="0"/>
      <name val="Fira Sans"/>
      <family val="2"/>
    </font>
    <font>
      <sz val="16"/>
      <color theme="0"/>
      <name val="Fira Sans"/>
      <family val="2"/>
    </font>
    <font>
      <sz val="16"/>
      <color theme="1"/>
      <name val="Fira Sans"/>
      <family val="2"/>
    </font>
    <font>
      <sz val="12"/>
      <color theme="0"/>
      <name val="Fira Sans"/>
      <family val="2"/>
    </font>
    <font>
      <sz val="12"/>
      <color theme="1"/>
      <name val="Fira Sans"/>
      <family val="2"/>
    </font>
    <font>
      <sz val="12"/>
      <name val="Fira Sans"/>
      <family val="2"/>
    </font>
    <font>
      <b/>
      <sz val="8"/>
      <color rgb="FFFFFF00"/>
      <name val="Fira Sans"/>
      <family val="2"/>
    </font>
    <font>
      <b/>
      <sz val="11"/>
      <color rgb="FFFFFFFF"/>
      <name val="Fira Sans"/>
      <family val="2"/>
    </font>
    <font>
      <sz val="11"/>
      <color rgb="FF000000"/>
      <name val="Fira Sans"/>
      <family val="2"/>
    </font>
    <font>
      <b/>
      <sz val="16"/>
      <color theme="1"/>
      <name val="Fira Sans"/>
      <family val="2"/>
    </font>
    <font>
      <sz val="10"/>
      <color theme="1"/>
      <name val="Fira Sans"/>
      <family val="2"/>
    </font>
    <font>
      <sz val="10"/>
      <name val="Fira Sans"/>
      <family val="2"/>
    </font>
    <font>
      <b/>
      <sz val="10"/>
      <color theme="1"/>
      <name val="Fira Sans"/>
      <family val="2"/>
    </font>
    <font>
      <sz val="10"/>
      <color theme="1"/>
      <name val="Calibri"/>
      <family val="2"/>
      <scheme val="minor"/>
    </font>
    <font>
      <sz val="10"/>
      <color theme="0"/>
      <name val="Arial"/>
      <family val="2"/>
    </font>
    <font>
      <sz val="7"/>
      <color rgb="FF000000"/>
      <name val="Fira Sans"/>
      <family val="2"/>
    </font>
    <font>
      <b/>
      <sz val="7"/>
      <color theme="1"/>
      <name val="Fira Sans"/>
      <family val="2"/>
    </font>
    <font>
      <b/>
      <sz val="7"/>
      <color rgb="FF000000"/>
      <name val="Fira Sans"/>
      <family val="2"/>
    </font>
    <font>
      <sz val="7"/>
      <color rgb="FFFFFFFF"/>
      <name val="Fira Sans"/>
      <family val="2"/>
    </font>
    <font>
      <b/>
      <sz val="11"/>
      <color theme="0"/>
      <name val="Calibri"/>
      <family val="2"/>
      <scheme val="minor"/>
    </font>
    <font>
      <b/>
      <sz val="7"/>
      <color theme="0"/>
      <name val="Fira Sans"/>
      <family val="2"/>
    </font>
    <font>
      <b/>
      <sz val="8"/>
      <color theme="1"/>
      <name val="Calibri"/>
      <family val="2"/>
      <scheme val="minor"/>
    </font>
    <font>
      <b/>
      <sz val="9"/>
      <color theme="1"/>
      <name val="Calibri"/>
      <family val="2"/>
      <scheme val="minor"/>
    </font>
    <font>
      <b/>
      <sz val="14"/>
      <color theme="0"/>
      <name val="Fira Sans"/>
      <family val="2"/>
    </font>
    <font>
      <b/>
      <sz val="12"/>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0"/>
      <name val="Calibri"/>
      <family val="2"/>
      <scheme val="minor"/>
    </font>
    <font>
      <b/>
      <sz val="11"/>
      <color rgb="FFFFB81C"/>
      <name val="Calibri"/>
      <family val="2"/>
      <scheme val="minor"/>
    </font>
    <font>
      <sz val="11"/>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rgb="FF182567"/>
        <bgColor indexed="64"/>
      </patternFill>
    </fill>
    <fill>
      <patternFill patternType="solid">
        <fgColor rgb="FFFF0000"/>
        <bgColor indexed="64"/>
      </patternFill>
    </fill>
    <fill>
      <patternFill patternType="solid">
        <fgColor rgb="FFFFFFBA"/>
        <bgColor indexed="64"/>
      </patternFill>
    </fill>
    <fill>
      <patternFill patternType="solid">
        <fgColor rgb="FFCFCECF"/>
        <bgColor indexed="64"/>
      </patternFill>
    </fill>
    <fill>
      <patternFill patternType="solid">
        <fgColor rgb="FFB7C2DB"/>
        <bgColor indexed="64"/>
      </patternFill>
    </fill>
    <fill>
      <patternFill patternType="solid">
        <fgColor rgb="FFCFCFCF"/>
        <bgColor indexed="64"/>
      </patternFill>
    </fill>
    <fill>
      <patternFill patternType="solid">
        <fgColor rgb="FF182567"/>
        <bgColor rgb="FF000000"/>
      </patternFill>
    </fill>
    <fill>
      <patternFill patternType="solid">
        <fgColor rgb="FFC00000"/>
        <bgColor indexed="64"/>
      </patternFill>
    </fill>
    <fill>
      <patternFill patternType="solid">
        <fgColor rgb="FFC00000"/>
        <bgColor rgb="FF000000"/>
      </patternFill>
    </fill>
    <fill>
      <patternFill patternType="solid">
        <fgColor theme="5" tint="0.79998168889431442"/>
        <bgColor indexed="64"/>
      </patternFill>
    </fill>
    <fill>
      <patternFill patternType="solid">
        <fgColor rgb="FFCC00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6"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9" fontId="7" fillId="0" borderId="0" applyFon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99">
    <xf numFmtId="0" fontId="0" fillId="0" borderId="0" xfId="0"/>
    <xf numFmtId="0" fontId="10" fillId="0" borderId="0" xfId="0" applyFont="1"/>
    <xf numFmtId="0" fontId="10" fillId="0" borderId="0" xfId="0" applyFont="1" applyFill="1" applyBorder="1"/>
    <xf numFmtId="0" fontId="10" fillId="0" borderId="0" xfId="0" applyFont="1" applyFill="1" applyBorder="1" applyAlignment="1">
      <alignment horizontal="left"/>
    </xf>
    <xf numFmtId="0" fontId="10" fillId="0" borderId="10" xfId="0" applyFont="1" applyBorder="1" applyAlignment="1">
      <alignment horizontal="center"/>
    </xf>
    <xf numFmtId="0" fontId="10" fillId="0" borderId="11" xfId="0" applyFont="1" applyBorder="1" applyAlignment="1">
      <alignment horizontal="center"/>
    </xf>
    <xf numFmtId="0" fontId="10" fillId="0" borderId="1" xfId="0" applyFont="1" applyBorder="1" applyAlignment="1">
      <alignment horizontal="center" vertical="center"/>
    </xf>
    <xf numFmtId="0" fontId="10" fillId="0" borderId="19"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13" fillId="0" borderId="1" xfId="123" applyFont="1" applyBorder="1" applyAlignment="1">
      <alignment horizontal="center" vertical="center"/>
    </xf>
    <xf numFmtId="0" fontId="13" fillId="0" borderId="22" xfId="123" applyFont="1" applyBorder="1" applyAlignment="1">
      <alignment horizontal="center" vertical="center"/>
    </xf>
    <xf numFmtId="164" fontId="13" fillId="2" borderId="1" xfId="123" applyNumberFormat="1" applyFont="1" applyFill="1" applyBorder="1" applyAlignment="1">
      <alignment horizontal="center" vertical="center"/>
    </xf>
    <xf numFmtId="1" fontId="13" fillId="2" borderId="1" xfId="123" applyNumberFormat="1" applyFont="1" applyFill="1" applyBorder="1" applyAlignment="1">
      <alignment horizontal="center" vertical="center"/>
    </xf>
    <xf numFmtId="164" fontId="13" fillId="0" borderId="1" xfId="123" applyNumberFormat="1" applyFont="1" applyBorder="1" applyAlignment="1">
      <alignment horizontal="center" vertical="center"/>
    </xf>
    <xf numFmtId="1" fontId="13" fillId="0" borderId="1" xfId="123" applyNumberFormat="1" applyFont="1" applyBorder="1" applyAlignment="1">
      <alignment horizontal="center" vertical="center"/>
    </xf>
    <xf numFmtId="0" fontId="13" fillId="2" borderId="1" xfId="123" applyFont="1" applyFill="1" applyBorder="1" applyAlignment="1">
      <alignment horizontal="center" vertical="center"/>
    </xf>
    <xf numFmtId="1" fontId="13" fillId="0" borderId="21" xfId="123" applyNumberFormat="1" applyFont="1" applyBorder="1" applyAlignment="1">
      <alignment horizontal="center" vertical="center"/>
    </xf>
    <xf numFmtId="0" fontId="13" fillId="0" borderId="0" xfId="123" applyFont="1" applyAlignment="1">
      <alignment horizontal="center" vertical="center"/>
    </xf>
    <xf numFmtId="0" fontId="13" fillId="2" borderId="21" xfId="123" applyFont="1" applyFill="1" applyBorder="1" applyAlignment="1">
      <alignment horizontal="center" vertical="center"/>
    </xf>
    <xf numFmtId="164" fontId="13" fillId="0" borderId="22" xfId="123" applyNumberFormat="1" applyFont="1" applyBorder="1" applyAlignment="1">
      <alignment horizontal="center" vertical="center"/>
    </xf>
    <xf numFmtId="1" fontId="13" fillId="0" borderId="22" xfId="123" applyNumberFormat="1" applyFont="1" applyBorder="1" applyAlignment="1">
      <alignment horizontal="center" vertical="center"/>
    </xf>
    <xf numFmtId="0" fontId="16" fillId="3" borderId="0" xfId="123" applyFont="1" applyFill="1" applyAlignment="1">
      <alignment horizontal="center" vertical="center"/>
    </xf>
    <xf numFmtId="0" fontId="13" fillId="3" borderId="0" xfId="123" applyFont="1" applyFill="1" applyAlignment="1">
      <alignment horizontal="center" vertical="center"/>
    </xf>
    <xf numFmtId="0" fontId="10" fillId="8" borderId="33" xfId="0" applyFont="1" applyFill="1" applyBorder="1"/>
    <xf numFmtId="0" fontId="10" fillId="8" borderId="34" xfId="0" applyFont="1" applyFill="1" applyBorder="1"/>
    <xf numFmtId="0" fontId="10" fillId="8" borderId="24" xfId="0" applyFont="1" applyFill="1" applyBorder="1"/>
    <xf numFmtId="0" fontId="10" fillId="10" borderId="33" xfId="0" applyFont="1" applyFill="1" applyBorder="1"/>
    <xf numFmtId="0" fontId="10" fillId="10" borderId="24" xfId="0" applyFont="1" applyFill="1" applyBorder="1" applyAlignment="1">
      <alignment horizontal="left"/>
    </xf>
    <xf numFmtId="0" fontId="10" fillId="10" borderId="34" xfId="0" applyFont="1" applyFill="1" applyBorder="1"/>
    <xf numFmtId="0" fontId="10" fillId="10" borderId="7" xfId="0" applyFont="1" applyFill="1" applyBorder="1" applyAlignment="1">
      <alignment horizontal="center"/>
    </xf>
    <xf numFmtId="0" fontId="10" fillId="10" borderId="0" xfId="0" applyFont="1" applyFill="1" applyBorder="1" applyAlignment="1">
      <alignment horizontal="center"/>
    </xf>
    <xf numFmtId="0" fontId="10" fillId="10" borderId="8" xfId="0" applyFont="1" applyFill="1" applyBorder="1" applyAlignment="1">
      <alignment horizontal="center"/>
    </xf>
    <xf numFmtId="164" fontId="13" fillId="10" borderId="1" xfId="123" applyNumberFormat="1" applyFont="1" applyFill="1" applyBorder="1" applyAlignment="1">
      <alignment horizontal="center" vertical="center"/>
    </xf>
    <xf numFmtId="1" fontId="13" fillId="10" borderId="1" xfId="123" applyNumberFormat="1" applyFont="1" applyFill="1" applyBorder="1" applyAlignment="1">
      <alignment horizontal="center" vertical="center"/>
    </xf>
    <xf numFmtId="164" fontId="13" fillId="10" borderId="22" xfId="123" applyNumberFormat="1" applyFont="1" applyFill="1" applyBorder="1" applyAlignment="1">
      <alignment horizontal="center" vertical="center"/>
    </xf>
    <xf numFmtId="1" fontId="13" fillId="10" borderId="22" xfId="123" applyNumberFormat="1" applyFont="1" applyFill="1" applyBorder="1" applyAlignment="1">
      <alignment horizontal="center" vertical="center"/>
    </xf>
    <xf numFmtId="0" fontId="13" fillId="10" borderId="21" xfId="123" applyFont="1" applyFill="1" applyBorder="1" applyAlignment="1">
      <alignment horizontal="center" vertical="center"/>
    </xf>
    <xf numFmtId="0" fontId="13" fillId="10" borderId="1" xfId="123" applyFont="1" applyFill="1" applyBorder="1" applyAlignment="1">
      <alignment horizontal="center" vertical="center"/>
    </xf>
    <xf numFmtId="0" fontId="13" fillId="10" borderId="22" xfId="123" applyFont="1" applyFill="1" applyBorder="1" applyAlignment="1">
      <alignment horizontal="center" vertical="center"/>
    </xf>
    <xf numFmtId="0" fontId="13" fillId="10" borderId="0" xfId="123" applyFont="1" applyFill="1" applyAlignment="1">
      <alignment horizontal="center" vertical="center"/>
    </xf>
    <xf numFmtId="0" fontId="22" fillId="4" borderId="11" xfId="0" applyFont="1" applyFill="1" applyBorder="1" applyAlignment="1">
      <alignment horizontal="center"/>
    </xf>
    <xf numFmtId="0" fontId="22" fillId="4" borderId="21" xfId="0" applyFont="1" applyFill="1" applyBorder="1" applyAlignment="1">
      <alignment horizontal="center"/>
    </xf>
    <xf numFmtId="0" fontId="22" fillId="4" borderId="3" xfId="0" applyFont="1" applyFill="1" applyBorder="1" applyAlignment="1">
      <alignment horizontal="center"/>
    </xf>
    <xf numFmtId="0" fontId="22" fillId="4" borderId="1" xfId="0" applyFont="1" applyFill="1" applyBorder="1" applyAlignment="1">
      <alignment horizontal="center"/>
    </xf>
    <xf numFmtId="0" fontId="22" fillId="0" borderId="1" xfId="0" applyFont="1" applyBorder="1" applyAlignment="1">
      <alignment horizontal="center"/>
    </xf>
    <xf numFmtId="0" fontId="10" fillId="0" borderId="0" xfId="0" applyFont="1" applyBorder="1"/>
    <xf numFmtId="0" fontId="10" fillId="0" borderId="0" xfId="107" applyFont="1"/>
    <xf numFmtId="0" fontId="10" fillId="0" borderId="0" xfId="107" applyFont="1" applyBorder="1"/>
    <xf numFmtId="0" fontId="24" fillId="0" borderId="0" xfId="107" applyFont="1"/>
    <xf numFmtId="0" fontId="24" fillId="0" borderId="4" xfId="107" applyFont="1" applyBorder="1"/>
    <xf numFmtId="0" fontId="24" fillId="0" borderId="5" xfId="107" applyFont="1" applyBorder="1"/>
    <xf numFmtId="0" fontId="24" fillId="0" borderId="6" xfId="107" applyFont="1" applyBorder="1"/>
    <xf numFmtId="0" fontId="25" fillId="0" borderId="7" xfId="107" applyFont="1" applyBorder="1" applyAlignment="1">
      <alignment horizontal="right"/>
    </xf>
    <xf numFmtId="0" fontId="25" fillId="0" borderId="0" xfId="107" quotePrefix="1" applyFont="1" applyBorder="1" applyAlignment="1"/>
    <xf numFmtId="0" fontId="24" fillId="0" borderId="0" xfId="107" applyFont="1" applyBorder="1"/>
    <xf numFmtId="0" fontId="24" fillId="0" borderId="0" xfId="107" applyFont="1" applyBorder="1" applyAlignment="1">
      <alignment horizontal="right"/>
    </xf>
    <xf numFmtId="0" fontId="26" fillId="0" borderId="0" xfId="107" applyFont="1" applyBorder="1"/>
    <xf numFmtId="0" fontId="24" fillId="0" borderId="8" xfId="107" applyFont="1" applyBorder="1"/>
    <xf numFmtId="0" fontId="25" fillId="7" borderId="0" xfId="107" applyFont="1" applyFill="1" applyBorder="1" applyAlignment="1" applyProtection="1">
      <protection locked="0"/>
    </xf>
    <xf numFmtId="0" fontId="24" fillId="0" borderId="9" xfId="107" applyFont="1" applyBorder="1"/>
    <xf numFmtId="0" fontId="24" fillId="0" borderId="10" xfId="107" applyFont="1" applyBorder="1"/>
    <xf numFmtId="0" fontId="24" fillId="0" borderId="11" xfId="107" applyFont="1" applyBorder="1"/>
    <xf numFmtId="0" fontId="25" fillId="0" borderId="0" xfId="107" applyFont="1" applyBorder="1" applyAlignment="1"/>
    <xf numFmtId="0" fontId="22" fillId="10" borderId="3" xfId="0" applyFont="1" applyFill="1" applyBorder="1" applyAlignment="1">
      <alignment horizontal="center"/>
    </xf>
    <xf numFmtId="0" fontId="22" fillId="10" borderId="1" xfId="0" applyFont="1" applyFill="1" applyBorder="1" applyAlignment="1">
      <alignment horizontal="center"/>
    </xf>
    <xf numFmtId="9" fontId="22" fillId="4" borderId="11" xfId="129" applyFont="1" applyFill="1" applyBorder="1" applyAlignment="1">
      <alignment horizontal="center"/>
    </xf>
    <xf numFmtId="9" fontId="22" fillId="4" borderId="21" xfId="129" applyFont="1" applyFill="1" applyBorder="1" applyAlignment="1">
      <alignment horizontal="center"/>
    </xf>
    <xf numFmtId="9" fontId="22" fillId="10" borderId="3" xfId="129" applyFont="1" applyFill="1" applyBorder="1" applyAlignment="1">
      <alignment horizontal="center"/>
    </xf>
    <xf numFmtId="9" fontId="22" fillId="10" borderId="1" xfId="129" applyFont="1" applyFill="1" applyBorder="1" applyAlignment="1">
      <alignment horizontal="center"/>
    </xf>
    <xf numFmtId="9" fontId="22" fillId="4" borderId="3" xfId="129" applyFont="1" applyFill="1" applyBorder="1" applyAlignment="1">
      <alignment horizontal="center"/>
    </xf>
    <xf numFmtId="9" fontId="22" fillId="4" borderId="1" xfId="129" applyFont="1" applyFill="1" applyBorder="1" applyAlignment="1">
      <alignment horizontal="center"/>
    </xf>
    <xf numFmtId="9" fontId="22" fillId="0" borderId="1" xfId="129" applyFont="1" applyBorder="1" applyAlignment="1">
      <alignment horizontal="center"/>
    </xf>
    <xf numFmtId="0" fontId="10" fillId="0" borderId="0" xfId="0" applyFont="1" applyAlignment="1">
      <alignment horizontal="center" vertical="center"/>
    </xf>
    <xf numFmtId="0" fontId="10" fillId="3" borderId="0" xfId="0" applyFont="1" applyFill="1" applyAlignment="1">
      <alignment horizontal="center" vertical="center"/>
    </xf>
    <xf numFmtId="0" fontId="15" fillId="3" borderId="0" xfId="0" applyFont="1" applyFill="1" applyAlignment="1">
      <alignment vertical="center"/>
    </xf>
    <xf numFmtId="0" fontId="10" fillId="0" borderId="0" xfId="0" applyFont="1" applyAlignment="1">
      <alignment vertical="center"/>
    </xf>
    <xf numFmtId="0" fontId="28" fillId="0" borderId="0" xfId="0" applyFont="1" applyAlignment="1">
      <alignment vertical="top" wrapText="1"/>
    </xf>
    <xf numFmtId="0" fontId="9" fillId="0" borderId="0" xfId="0" applyFont="1"/>
    <xf numFmtId="0" fontId="29" fillId="0" borderId="9" xfId="0" applyFont="1" applyBorder="1" applyAlignment="1">
      <alignment horizontal="center" vertical="center"/>
    </xf>
    <xf numFmtId="0" fontId="30" fillId="0" borderId="21" xfId="123" applyFont="1" applyBorder="1" applyAlignment="1">
      <alignment horizontal="center" vertical="center"/>
    </xf>
    <xf numFmtId="0" fontId="31" fillId="0" borderId="9" xfId="0" applyFont="1" applyBorder="1" applyAlignment="1">
      <alignment horizontal="center" vertical="center"/>
    </xf>
    <xf numFmtId="0" fontId="30" fillId="0" borderId="9" xfId="123" applyFont="1" applyBorder="1" applyAlignment="1">
      <alignment horizontal="center" vertical="center"/>
    </xf>
    <xf numFmtId="0" fontId="30" fillId="0" borderId="20" xfId="123" applyFont="1" applyBorder="1" applyAlignment="1">
      <alignment horizontal="center" vertical="center"/>
    </xf>
    <xf numFmtId="0" fontId="30" fillId="0" borderId="7" xfId="123" applyFont="1" applyBorder="1" applyAlignment="1">
      <alignment horizontal="center" vertical="center"/>
    </xf>
    <xf numFmtId="0" fontId="29" fillId="0" borderId="21" xfId="0"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11" xfId="0" applyFont="1" applyBorder="1" applyAlignment="1">
      <alignment horizontal="center" vertical="center"/>
    </xf>
    <xf numFmtId="0" fontId="31" fillId="0" borderId="10" xfId="0" applyFont="1" applyBorder="1" applyAlignment="1">
      <alignment horizontal="center" vertical="center"/>
    </xf>
    <xf numFmtId="0" fontId="29" fillId="0" borderId="3" xfId="0" applyFont="1" applyBorder="1" applyAlignment="1">
      <alignment horizontal="center" vertical="center"/>
    </xf>
    <xf numFmtId="49" fontId="29" fillId="0" borderId="11" xfId="0" applyNumberFormat="1" applyFont="1" applyBorder="1" applyAlignment="1">
      <alignment horizontal="center" vertical="center"/>
    </xf>
    <xf numFmtId="49" fontId="29" fillId="0" borderId="8" xfId="0" applyNumberFormat="1" applyFont="1" applyBorder="1" applyAlignment="1">
      <alignment horizontal="center" vertical="center"/>
    </xf>
    <xf numFmtId="49" fontId="29" fillId="0" borderId="6" xfId="0" applyNumberFormat="1" applyFont="1" applyBorder="1" applyAlignment="1">
      <alignment horizontal="center" vertical="center"/>
    </xf>
    <xf numFmtId="49" fontId="13" fillId="0" borderId="22" xfId="123" applyNumberFormat="1" applyFont="1" applyBorder="1" applyAlignment="1">
      <alignment horizontal="center" vertical="center"/>
    </xf>
    <xf numFmtId="49" fontId="29" fillId="0" borderId="1" xfId="0" applyNumberFormat="1" applyFont="1" applyBorder="1" applyAlignment="1">
      <alignment horizontal="center" vertical="center"/>
    </xf>
    <xf numFmtId="49" fontId="29" fillId="0" borderId="21" xfId="0" applyNumberFormat="1" applyFont="1" applyBorder="1" applyAlignment="1">
      <alignment horizontal="center" vertical="center"/>
    </xf>
    <xf numFmtId="49" fontId="29" fillId="0" borderId="20" xfId="0" applyNumberFormat="1" applyFont="1" applyBorder="1" applyAlignment="1">
      <alignment horizontal="center" vertical="center"/>
    </xf>
    <xf numFmtId="0" fontId="0" fillId="0" borderId="36" xfId="0" applyBorder="1"/>
    <xf numFmtId="0" fontId="0" fillId="0" borderId="37" xfId="0" applyBorder="1"/>
    <xf numFmtId="9" fontId="29" fillId="0" borderId="6" xfId="0" applyNumberFormat="1" applyFont="1" applyBorder="1" applyAlignment="1">
      <alignment horizontal="center" vertical="center"/>
    </xf>
    <xf numFmtId="9" fontId="13" fillId="0" borderId="22" xfId="123" applyNumberFormat="1" applyFont="1" applyBorder="1" applyAlignment="1">
      <alignment horizontal="center" vertical="center"/>
    </xf>
    <xf numFmtId="0" fontId="29" fillId="0" borderId="6" xfId="0" quotePrefix="1" applyFont="1" applyBorder="1" applyAlignment="1">
      <alignment horizontal="center" vertical="center"/>
    </xf>
    <xf numFmtId="0" fontId="29" fillId="0" borderId="1" xfId="0" applyFont="1" applyBorder="1" applyAlignment="1">
      <alignment horizontal="center" vertical="center"/>
    </xf>
    <xf numFmtId="164" fontId="13" fillId="3" borderId="1" xfId="123" applyNumberFormat="1" applyFont="1" applyFill="1" applyBorder="1" applyAlignment="1">
      <alignment horizontal="center" vertical="center"/>
    </xf>
    <xf numFmtId="1" fontId="13" fillId="3" borderId="1" xfId="123" applyNumberFormat="1" applyFont="1" applyFill="1" applyBorder="1" applyAlignment="1">
      <alignment horizontal="center" vertical="center"/>
    </xf>
    <xf numFmtId="164" fontId="13" fillId="3" borderId="22" xfId="123" applyNumberFormat="1" applyFont="1" applyFill="1" applyBorder="1" applyAlignment="1">
      <alignment horizontal="center" vertical="center"/>
    </xf>
    <xf numFmtId="1" fontId="13" fillId="3" borderId="22" xfId="123" applyNumberFormat="1" applyFont="1" applyFill="1" applyBorder="1" applyAlignment="1">
      <alignment horizontal="center" vertical="center"/>
    </xf>
    <xf numFmtId="49" fontId="13" fillId="0" borderId="1" xfId="123" applyNumberFormat="1" applyFont="1" applyBorder="1" applyAlignment="1">
      <alignment horizontal="center" vertical="center"/>
    </xf>
    <xf numFmtId="0" fontId="30" fillId="0" borderId="0" xfId="123" applyFont="1" applyAlignment="1">
      <alignment horizontal="center" vertical="center"/>
    </xf>
    <xf numFmtId="0" fontId="0" fillId="0" borderId="15" xfId="0" applyBorder="1"/>
    <xf numFmtId="0" fontId="0" fillId="0" borderId="16" xfId="0" applyBorder="1"/>
    <xf numFmtId="0" fontId="35" fillId="0" borderId="37" xfId="0" applyFont="1" applyBorder="1" applyAlignment="1">
      <alignment horizontal="right" vertical="center"/>
    </xf>
    <xf numFmtId="0" fontId="36" fillId="0" borderId="36" xfId="0" applyFont="1" applyBorder="1"/>
    <xf numFmtId="0" fontId="38" fillId="5" borderId="0" xfId="0" applyFont="1" applyFill="1"/>
    <xf numFmtId="0" fontId="9" fillId="12" borderId="12" xfId="0" applyFont="1" applyFill="1" applyBorder="1"/>
    <xf numFmtId="0" fontId="9" fillId="12" borderId="13" xfId="0" applyFont="1" applyFill="1" applyBorder="1" applyAlignment="1">
      <alignment horizontal="center"/>
    </xf>
    <xf numFmtId="0" fontId="9" fillId="12" borderId="14" xfId="0" applyFont="1" applyFill="1" applyBorder="1" applyAlignment="1">
      <alignment horizontal="center"/>
    </xf>
    <xf numFmtId="0" fontId="9" fillId="12" borderId="15" xfId="0" applyFont="1" applyFill="1" applyBorder="1" applyAlignment="1">
      <alignment horizontal="center" vertical="center"/>
    </xf>
    <xf numFmtId="0" fontId="9" fillId="12" borderId="16" xfId="0" applyFont="1" applyFill="1" applyBorder="1" applyAlignment="1">
      <alignment horizontal="center" vertical="center"/>
    </xf>
    <xf numFmtId="0" fontId="33" fillId="12" borderId="35" xfId="0" applyFont="1" applyFill="1" applyBorder="1"/>
    <xf numFmtId="0" fontId="33" fillId="12" borderId="12" xfId="0" applyFont="1" applyFill="1" applyBorder="1"/>
    <xf numFmtId="0" fontId="34" fillId="12" borderId="0" xfId="123" applyFont="1" applyFill="1" applyBorder="1" applyAlignment="1">
      <alignment horizontal="center" vertical="center" wrapText="1"/>
    </xf>
    <xf numFmtId="0" fontId="13" fillId="12" borderId="0" xfId="123" applyFont="1" applyFill="1" applyAlignment="1">
      <alignment horizontal="center" vertical="center"/>
    </xf>
    <xf numFmtId="1" fontId="13" fillId="12" borderId="0" xfId="123" applyNumberFormat="1" applyFont="1" applyFill="1" applyAlignment="1">
      <alignment horizontal="center" vertical="center"/>
    </xf>
    <xf numFmtId="0" fontId="34" fillId="12" borderId="0" xfId="123" applyFont="1" applyFill="1" applyAlignment="1">
      <alignment horizontal="center" vertical="center"/>
    </xf>
    <xf numFmtId="165" fontId="37" fillId="12" borderId="0" xfId="123" applyNumberFormat="1" applyFont="1" applyFill="1" applyAlignment="1">
      <alignment horizontal="center" vertical="center"/>
    </xf>
    <xf numFmtId="0" fontId="10" fillId="14" borderId="1" xfId="0" applyFont="1" applyFill="1" applyBorder="1" applyAlignment="1">
      <alignment horizontal="center" vertical="center"/>
    </xf>
    <xf numFmtId="0" fontId="44" fillId="0" borderId="0" xfId="0" applyFont="1"/>
    <xf numFmtId="0" fontId="10" fillId="14" borderId="7" xfId="0" applyFont="1" applyFill="1" applyBorder="1"/>
    <xf numFmtId="0" fontId="10" fillId="14" borderId="9" xfId="0" applyFont="1" applyFill="1" applyBorder="1"/>
    <xf numFmtId="0" fontId="10" fillId="14" borderId="4" xfId="0" applyFont="1" applyFill="1" applyBorder="1" applyAlignment="1"/>
    <xf numFmtId="0" fontId="10" fillId="14" borderId="5" xfId="0" applyFont="1" applyFill="1" applyBorder="1" applyAlignment="1">
      <alignment horizontal="center" vertical="center"/>
    </xf>
    <xf numFmtId="0" fontId="10" fillId="14" borderId="6" xfId="0" applyFont="1" applyFill="1" applyBorder="1" applyAlignment="1"/>
    <xf numFmtId="0" fontId="10" fillId="14" borderId="6" xfId="0" applyFont="1" applyFill="1" applyBorder="1" applyAlignment="1">
      <alignment horizontal="center" vertical="center"/>
    </xf>
    <xf numFmtId="0" fontId="10" fillId="14" borderId="5" xfId="0" applyFont="1" applyFill="1" applyBorder="1" applyAlignment="1">
      <alignment horizontal="center"/>
    </xf>
    <xf numFmtId="1" fontId="11" fillId="14" borderId="9" xfId="0" applyNumberFormat="1" applyFont="1" applyFill="1" applyBorder="1" applyAlignment="1">
      <alignment horizontal="center"/>
    </xf>
    <xf numFmtId="0" fontId="11" fillId="14" borderId="9" xfId="0" applyFont="1" applyFill="1" applyBorder="1" applyAlignment="1">
      <alignment horizontal="center"/>
    </xf>
    <xf numFmtId="0" fontId="31" fillId="0" borderId="20" xfId="0" applyFont="1" applyBorder="1" applyAlignment="1">
      <alignment horizontal="center" vertical="center"/>
    </xf>
    <xf numFmtId="49" fontId="31" fillId="0" borderId="21" xfId="0" applyNumberFormat="1" applyFont="1" applyBorder="1" applyAlignment="1">
      <alignment horizontal="center" vertical="center"/>
    </xf>
    <xf numFmtId="49" fontId="31" fillId="0" borderId="20" xfId="0" applyNumberFormat="1" applyFont="1" applyBorder="1" applyAlignment="1">
      <alignment horizontal="center" vertical="center"/>
    </xf>
    <xf numFmtId="0" fontId="29" fillId="0" borderId="22" xfId="0" applyFont="1" applyBorder="1" applyAlignment="1">
      <alignment horizontal="center" vertical="center"/>
    </xf>
    <xf numFmtId="0" fontId="31" fillId="0" borderId="8" xfId="0" applyFont="1" applyBorder="1" applyAlignment="1">
      <alignment horizontal="center" vertical="center"/>
    </xf>
    <xf numFmtId="49" fontId="13" fillId="0" borderId="22" xfId="123" quotePrefix="1" applyNumberFormat="1" applyFont="1" applyBorder="1" applyAlignment="1">
      <alignment horizontal="center" vertical="center"/>
    </xf>
    <xf numFmtId="49" fontId="31" fillId="0" borderId="22" xfId="0" applyNumberFormat="1" applyFont="1" applyBorder="1" applyAlignment="1">
      <alignment horizontal="center" vertical="center"/>
    </xf>
    <xf numFmtId="0" fontId="10" fillId="14" borderId="4" xfId="0" applyFont="1" applyFill="1" applyBorder="1" applyAlignment="1">
      <alignment horizontal="center" vertical="center"/>
    </xf>
    <xf numFmtId="0" fontId="14" fillId="12" borderId="0" xfId="123" applyFont="1" applyFill="1" applyBorder="1" applyAlignment="1">
      <alignment horizontal="center" vertical="center"/>
    </xf>
    <xf numFmtId="0" fontId="14" fillId="12" borderId="0" xfId="123" applyFont="1" applyFill="1" applyAlignment="1">
      <alignment horizontal="center" vertical="center"/>
    </xf>
    <xf numFmtId="0" fontId="13" fillId="2" borderId="0" xfId="123" applyFont="1" applyFill="1" applyAlignment="1">
      <alignment horizontal="center" vertical="center"/>
    </xf>
    <xf numFmtId="0" fontId="17" fillId="12" borderId="0" xfId="123" applyFont="1" applyFill="1" applyAlignment="1">
      <alignment horizontal="center" vertical="center"/>
    </xf>
    <xf numFmtId="0" fontId="14" fillId="12" borderId="0" xfId="123" applyFont="1" applyFill="1" applyBorder="1" applyAlignment="1">
      <alignment horizontal="center" vertical="center" wrapText="1"/>
    </xf>
    <xf numFmtId="0" fontId="18" fillId="10" borderId="0" xfId="123" applyFont="1" applyFill="1" applyAlignment="1">
      <alignment horizontal="center" vertical="center"/>
    </xf>
    <xf numFmtId="0" fontId="34" fillId="12" borderId="0" xfId="123" applyFont="1" applyFill="1" applyBorder="1" applyAlignment="1">
      <alignment horizontal="center" vertical="center"/>
    </xf>
    <xf numFmtId="0" fontId="21" fillId="5" borderId="0" xfId="0" applyFont="1" applyFill="1" applyBorder="1" applyAlignment="1">
      <alignment horizontal="center"/>
    </xf>
    <xf numFmtId="0" fontId="0" fillId="0" borderId="0" xfId="0" applyAlignment="1">
      <alignment horizontal="left" vertical="top" wrapText="1"/>
    </xf>
    <xf numFmtId="0" fontId="9" fillId="12" borderId="1" xfId="0" applyFont="1" applyFill="1" applyBorder="1" applyAlignment="1">
      <alignment horizontal="center" vertical="center"/>
    </xf>
    <xf numFmtId="0" fontId="21" fillId="12" borderId="0" xfId="0" applyFont="1" applyFill="1" applyBorder="1" applyAlignment="1">
      <alignment horizontal="center"/>
    </xf>
    <xf numFmtId="0" fontId="10" fillId="0" borderId="0" xfId="0" applyFont="1" applyAlignment="1">
      <alignment horizontal="left" vertical="center"/>
    </xf>
    <xf numFmtId="0" fontId="10" fillId="2" borderId="0" xfId="0" applyFont="1" applyFill="1" applyAlignment="1">
      <alignment horizontal="center" vertic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 xfId="0" applyFont="1" applyBorder="1" applyAlignment="1">
      <alignment horizontal="center" vertical="center" wrapText="1"/>
    </xf>
    <xf numFmtId="0" fontId="10" fillId="10" borderId="9" xfId="0" applyFont="1" applyFill="1" applyBorder="1" applyAlignment="1">
      <alignment horizontal="center"/>
    </xf>
    <xf numFmtId="0" fontId="10" fillId="10" borderId="10" xfId="0" applyFont="1" applyFill="1" applyBorder="1" applyAlignment="1">
      <alignment horizontal="center"/>
    </xf>
    <xf numFmtId="0" fontId="10" fillId="10" borderId="11" xfId="0" applyFont="1" applyFill="1" applyBorder="1" applyAlignment="1">
      <alignment horizontal="center"/>
    </xf>
    <xf numFmtId="14" fontId="10" fillId="10" borderId="27" xfId="0" applyNumberFormat="1" applyFont="1" applyFill="1" applyBorder="1" applyAlignment="1">
      <alignment horizontal="center" vertical="center"/>
    </xf>
    <xf numFmtId="14" fontId="10" fillId="10" borderId="28" xfId="0" applyNumberFormat="1" applyFont="1" applyFill="1" applyBorder="1" applyAlignment="1">
      <alignment horizontal="center" vertical="center"/>
    </xf>
    <xf numFmtId="14" fontId="10" fillId="10" borderId="29" xfId="0" applyNumberFormat="1"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6" xfId="0" applyFont="1" applyFill="1" applyBorder="1" applyAlignment="1">
      <alignment horizontal="center" vertical="center"/>
    </xf>
    <xf numFmtId="0" fontId="10" fillId="10" borderId="30" xfId="0" applyFont="1" applyFill="1" applyBorder="1" applyAlignment="1">
      <alignment horizontal="center" vertical="center"/>
    </xf>
    <xf numFmtId="0" fontId="10" fillId="10" borderId="31" xfId="0" applyFont="1" applyFill="1" applyBorder="1" applyAlignment="1">
      <alignment horizontal="center" vertical="center"/>
    </xf>
    <xf numFmtId="0" fontId="10" fillId="10" borderId="32" xfId="0" applyFont="1" applyFill="1" applyBorder="1" applyAlignment="1">
      <alignment horizontal="center" vertical="center"/>
    </xf>
    <xf numFmtId="0" fontId="10" fillId="14" borderId="23" xfId="0" applyFont="1" applyFill="1" applyBorder="1" applyAlignment="1">
      <alignment horizontal="left"/>
    </xf>
    <xf numFmtId="0" fontId="10" fillId="9" borderId="23" xfId="0" applyFont="1" applyFill="1" applyBorder="1" applyAlignment="1">
      <alignment horizontal="left"/>
    </xf>
    <xf numFmtId="0" fontId="9" fillId="12" borderId="5" xfId="0" applyFont="1" applyFill="1" applyBorder="1" applyAlignment="1">
      <alignment horizontal="center"/>
    </xf>
    <xf numFmtId="0" fontId="9" fillId="5" borderId="5" xfId="0" applyFont="1" applyFill="1" applyBorder="1" applyAlignment="1">
      <alignment horizontal="center"/>
    </xf>
    <xf numFmtId="0" fontId="9" fillId="5" borderId="6" xfId="0" applyFont="1" applyFill="1" applyBorder="1" applyAlignment="1">
      <alignment horizontal="center"/>
    </xf>
    <xf numFmtId="0" fontId="10" fillId="14"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0" fillId="9" borderId="10" xfId="0" applyFont="1" applyFill="1" applyBorder="1" applyAlignment="1">
      <alignment horizontal="center" vertical="center"/>
    </xf>
    <xf numFmtId="0" fontId="10" fillId="9" borderId="11" xfId="0" applyFont="1" applyFill="1" applyBorder="1" applyAlignment="1">
      <alignment horizontal="center" vertical="center"/>
    </xf>
    <xf numFmtId="0" fontId="10" fillId="10" borderId="27"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29" xfId="0" applyFont="1" applyFill="1" applyBorder="1" applyAlignment="1">
      <alignment horizontal="center" vertical="center"/>
    </xf>
    <xf numFmtId="0" fontId="12" fillId="0" borderId="0" xfId="99" applyFont="1" applyAlignment="1">
      <alignment horizontal="center"/>
    </xf>
    <xf numFmtId="0" fontId="9" fillId="12" borderId="4" xfId="0" applyFont="1" applyFill="1" applyBorder="1" applyAlignment="1">
      <alignment horizontal="center"/>
    </xf>
    <xf numFmtId="0" fontId="11" fillId="0" borderId="10" xfId="0" applyFont="1" applyFill="1" applyBorder="1" applyAlignment="1">
      <alignment horizontal="left"/>
    </xf>
    <xf numFmtId="0" fontId="37" fillId="12" borderId="0" xfId="123" applyFont="1" applyFill="1" applyAlignment="1">
      <alignment horizontal="center" vertical="center"/>
    </xf>
    <xf numFmtId="0" fontId="37" fillId="5" borderId="0" xfId="123" applyFont="1" applyFill="1" applyAlignment="1">
      <alignment horizontal="center" vertical="center"/>
    </xf>
    <xf numFmtId="0" fontId="14" fillId="12" borderId="0" xfId="123" applyFont="1" applyFill="1" applyBorder="1" applyAlignment="1">
      <alignment horizontal="center" vertical="center"/>
    </xf>
    <xf numFmtId="0" fontId="14" fillId="5" borderId="0" xfId="123" applyFont="1" applyFill="1" applyBorder="1" applyAlignment="1">
      <alignment horizontal="center" vertical="center"/>
    </xf>
    <xf numFmtId="0" fontId="14" fillId="12" borderId="0" xfId="123" applyFont="1" applyFill="1" applyBorder="1" applyAlignment="1">
      <alignment horizontal="left" vertical="center"/>
    </xf>
    <xf numFmtId="0" fontId="14" fillId="5" borderId="0" xfId="123" applyFont="1" applyFill="1" applyBorder="1" applyAlignment="1">
      <alignment horizontal="left" vertical="center"/>
    </xf>
    <xf numFmtId="0" fontId="14" fillId="12" borderId="0" xfId="123" applyFont="1" applyFill="1" applyAlignment="1">
      <alignment horizontal="center" vertical="center"/>
    </xf>
    <xf numFmtId="0" fontId="14" fillId="5" borderId="0" xfId="123" applyFont="1" applyFill="1" applyAlignment="1">
      <alignment horizontal="center" vertical="center"/>
    </xf>
    <xf numFmtId="0" fontId="13" fillId="2" borderId="0" xfId="123" applyFont="1" applyFill="1" applyAlignment="1">
      <alignment horizontal="center" vertical="center"/>
    </xf>
    <xf numFmtId="0" fontId="17" fillId="12" borderId="0" xfId="123" applyFont="1" applyFill="1" applyAlignment="1">
      <alignment horizontal="center" vertical="center"/>
    </xf>
    <xf numFmtId="0" fontId="17" fillId="5" borderId="0" xfId="123" applyFont="1" applyFill="1" applyAlignment="1">
      <alignment horizontal="center" vertical="center"/>
    </xf>
    <xf numFmtId="0" fontId="24" fillId="3" borderId="0" xfId="123" applyFont="1" applyFill="1" applyBorder="1" applyAlignment="1">
      <alignment horizontal="center" vertical="center" wrapText="1"/>
    </xf>
    <xf numFmtId="0" fontId="14" fillId="12" borderId="0" xfId="123" applyFont="1" applyFill="1" applyBorder="1" applyAlignment="1">
      <alignment horizontal="center" vertical="center" wrapText="1"/>
    </xf>
    <xf numFmtId="0" fontId="14" fillId="5" borderId="0" xfId="123" applyFont="1" applyFill="1" applyBorder="1" applyAlignment="1">
      <alignment horizontal="center" vertical="center" wrapText="1"/>
    </xf>
    <xf numFmtId="0" fontId="32" fillId="13" borderId="0" xfId="0" applyFont="1" applyFill="1" applyAlignment="1">
      <alignment horizontal="center" vertical="center"/>
    </xf>
    <xf numFmtId="0" fontId="32" fillId="11" borderId="0" xfId="0" applyFont="1" applyFill="1" applyAlignment="1">
      <alignment horizontal="center" vertical="center"/>
    </xf>
    <xf numFmtId="1" fontId="13" fillId="2" borderId="0" xfId="123" applyNumberFormat="1" applyFont="1" applyFill="1" applyAlignment="1">
      <alignment horizontal="center" vertical="center"/>
    </xf>
    <xf numFmtId="0" fontId="19" fillId="10" borderId="0" xfId="123" applyFont="1" applyFill="1" applyAlignment="1">
      <alignment horizontal="center" vertical="center"/>
    </xf>
    <xf numFmtId="0" fontId="18" fillId="10" borderId="0" xfId="123" applyFont="1" applyFill="1" applyAlignment="1">
      <alignment horizontal="center" vertical="center"/>
    </xf>
    <xf numFmtId="0" fontId="15" fillId="12" borderId="0" xfId="123" applyFont="1" applyFill="1" applyAlignment="1">
      <alignment horizontal="center" vertical="center"/>
    </xf>
    <xf numFmtId="0" fontId="15" fillId="5" borderId="0" xfId="123" applyFont="1" applyFill="1" applyAlignment="1">
      <alignment horizontal="center" vertical="center"/>
    </xf>
    <xf numFmtId="0" fontId="16" fillId="10" borderId="0" xfId="123" applyFont="1" applyFill="1" applyAlignment="1">
      <alignment horizontal="center" vertical="center"/>
    </xf>
    <xf numFmtId="0" fontId="24" fillId="3" borderId="4" xfId="123" applyFont="1" applyFill="1" applyBorder="1" applyAlignment="1">
      <alignment horizontal="center" vertical="center" wrapText="1"/>
    </xf>
    <xf numFmtId="0" fontId="24" fillId="3" borderId="5" xfId="123" applyFont="1" applyFill="1" applyBorder="1" applyAlignment="1">
      <alignment horizontal="center" vertical="center" wrapText="1"/>
    </xf>
    <xf numFmtId="0" fontId="24" fillId="3" borderId="6" xfId="123" applyFont="1" applyFill="1" applyBorder="1" applyAlignment="1">
      <alignment horizontal="center" vertical="center" wrapText="1"/>
    </xf>
    <xf numFmtId="0" fontId="24" fillId="3" borderId="7" xfId="123" applyFont="1" applyFill="1" applyBorder="1" applyAlignment="1">
      <alignment horizontal="center" vertical="center" wrapText="1"/>
    </xf>
    <xf numFmtId="0" fontId="24" fillId="3" borderId="8" xfId="123" applyFont="1" applyFill="1" applyBorder="1" applyAlignment="1">
      <alignment horizontal="center" vertical="center" wrapText="1"/>
    </xf>
    <xf numFmtId="0" fontId="24" fillId="3" borderId="9" xfId="123" applyFont="1" applyFill="1" applyBorder="1" applyAlignment="1">
      <alignment horizontal="center" vertical="center" wrapText="1"/>
    </xf>
    <xf numFmtId="0" fontId="24" fillId="3" borderId="10" xfId="123" applyFont="1" applyFill="1" applyBorder="1" applyAlignment="1">
      <alignment horizontal="center" vertical="center" wrapText="1"/>
    </xf>
    <xf numFmtId="0" fontId="24" fillId="3" borderId="11" xfId="123" applyFont="1" applyFill="1" applyBorder="1" applyAlignment="1">
      <alignment horizontal="center" vertical="center" wrapText="1"/>
    </xf>
    <xf numFmtId="0" fontId="34" fillId="12" borderId="0" xfId="123" applyFont="1" applyFill="1" applyBorder="1" applyAlignment="1">
      <alignment horizontal="center" vertical="center"/>
    </xf>
    <xf numFmtId="0" fontId="34" fillId="5" borderId="0" xfId="123" applyFont="1" applyFill="1" applyBorder="1" applyAlignment="1">
      <alignment horizontal="center" vertical="center"/>
    </xf>
    <xf numFmtId="0" fontId="27" fillId="0" borderId="0" xfId="0" applyFont="1" applyAlignment="1">
      <alignment horizontal="center" vertical="center"/>
    </xf>
    <xf numFmtId="0" fontId="0" fillId="0" borderId="12" xfId="0"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38" xfId="0" applyBorder="1" applyAlignment="1">
      <alignment horizontal="left" vertical="top"/>
    </xf>
    <xf numFmtId="0" fontId="0" fillId="0" borderId="16" xfId="0"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21" fillId="5" borderId="0" xfId="0" applyFont="1" applyFill="1" applyBorder="1" applyAlignment="1">
      <alignment horizontal="center" vertical="center"/>
    </xf>
    <xf numFmtId="0" fontId="21" fillId="5" borderId="0" xfId="0" applyFont="1" applyFill="1" applyBorder="1" applyAlignment="1">
      <alignment horizontal="center"/>
    </xf>
    <xf numFmtId="0" fontId="8" fillId="5" borderId="1" xfId="0" applyFont="1" applyFill="1" applyBorder="1" applyAlignment="1">
      <alignment horizontal="center"/>
    </xf>
    <xf numFmtId="0" fontId="10" fillId="10" borderId="1" xfId="0" applyFont="1" applyFill="1" applyBorder="1" applyAlignment="1">
      <alignment horizontal="center"/>
    </xf>
    <xf numFmtId="0" fontId="10" fillId="9" borderId="1" xfId="0" applyFont="1" applyFill="1" applyBorder="1" applyAlignment="1" applyProtection="1">
      <alignment horizontal="center"/>
      <protection locked="0"/>
    </xf>
    <xf numFmtId="0" fontId="20" fillId="6" borderId="7" xfId="0" applyFont="1" applyFill="1" applyBorder="1" applyAlignment="1">
      <alignment horizontal="center" vertical="center"/>
    </xf>
    <xf numFmtId="0" fontId="20" fillId="6" borderId="0" xfId="0" applyFont="1" applyFill="1" applyAlignment="1">
      <alignment horizontal="center" vertical="center"/>
    </xf>
    <xf numFmtId="0" fontId="23" fillId="0" borderId="0" xfId="107" applyFont="1" applyAlignment="1">
      <alignment horizontal="center"/>
    </xf>
    <xf numFmtId="0" fontId="10" fillId="0" borderId="0" xfId="107" applyFont="1" applyAlignment="1">
      <alignment horizontal="center"/>
    </xf>
    <xf numFmtId="0" fontId="0" fillId="0" borderId="2" xfId="0" applyBorder="1" applyAlignment="1">
      <alignment horizontal="left" vertical="top" wrapText="1"/>
    </xf>
    <xf numFmtId="0" fontId="0" fillId="0" borderId="41" xfId="0" applyBorder="1" applyAlignment="1">
      <alignment horizontal="left" vertical="top" wrapText="1"/>
    </xf>
    <xf numFmtId="0" fontId="0" fillId="0" borderId="3" xfId="0" applyBorder="1" applyAlignment="1">
      <alignment horizontal="left" vertical="top" wrapText="1"/>
    </xf>
    <xf numFmtId="0" fontId="41" fillId="15" borderId="0" xfId="0" applyFont="1" applyFill="1" applyAlignment="1">
      <alignment horizontal="center" vertical="center"/>
    </xf>
    <xf numFmtId="0" fontId="42" fillId="15" borderId="1" xfId="0" applyFont="1" applyFill="1" applyBorder="1" applyAlignment="1">
      <alignment horizontal="center" vertical="center"/>
    </xf>
    <xf numFmtId="0" fontId="39" fillId="0" borderId="1" xfId="0" applyFont="1" applyBorder="1" applyAlignment="1">
      <alignment horizontal="left" vertical="top" wrapText="1"/>
    </xf>
    <xf numFmtId="0" fontId="0" fillId="0" borderId="1" xfId="0" applyBorder="1" applyAlignment="1">
      <alignment horizontal="left" vertical="top" wrapText="1"/>
    </xf>
    <xf numFmtId="0" fontId="33" fillId="15" borderId="1" xfId="0" applyFont="1" applyFill="1" applyBorder="1" applyAlignment="1">
      <alignment horizontal="center" vertical="center"/>
    </xf>
    <xf numFmtId="0" fontId="33" fillId="15" borderId="4" xfId="0" applyFont="1" applyFill="1" applyBorder="1" applyAlignment="1">
      <alignment horizontal="center" vertical="center" wrapText="1"/>
    </xf>
    <xf numFmtId="0" fontId="33" fillId="15" borderId="6"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8" xfId="0" applyFont="1" applyFill="1" applyBorder="1" applyAlignment="1">
      <alignment horizontal="center" vertical="center" wrapText="1"/>
    </xf>
    <xf numFmtId="0" fontId="43" fillId="0" borderId="1" xfId="0" applyFont="1" applyBorder="1" applyAlignment="1">
      <alignment horizontal="center" vertical="center"/>
    </xf>
    <xf numFmtId="0" fontId="43" fillId="0" borderId="9" xfId="0" applyFont="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33" fillId="15" borderId="2" xfId="0" applyFont="1" applyFill="1" applyBorder="1" applyAlignment="1">
      <alignment horizontal="center"/>
    </xf>
    <xf numFmtId="0" fontId="33" fillId="15" borderId="41" xfId="0" applyFont="1" applyFill="1" applyBorder="1" applyAlignment="1">
      <alignment horizontal="center"/>
    </xf>
    <xf numFmtId="0" fontId="33" fillId="15" borderId="3" xfId="0" applyFont="1" applyFill="1" applyBorder="1" applyAlignment="1">
      <alignment horizontal="center"/>
    </xf>
    <xf numFmtId="0" fontId="40" fillId="15" borderId="4" xfId="0" applyFont="1" applyFill="1" applyBorder="1" applyAlignment="1">
      <alignment horizontal="center" vertical="center"/>
    </xf>
    <xf numFmtId="0" fontId="40" fillId="15" borderId="5" xfId="0" applyFont="1" applyFill="1" applyBorder="1" applyAlignment="1">
      <alignment horizontal="center" vertical="center"/>
    </xf>
    <xf numFmtId="0" fontId="40" fillId="15" borderId="6" xfId="0" applyFont="1" applyFill="1" applyBorder="1" applyAlignment="1">
      <alignment horizontal="center" vertical="center"/>
    </xf>
    <xf numFmtId="0" fontId="40" fillId="15" borderId="7" xfId="0" applyFont="1" applyFill="1" applyBorder="1" applyAlignment="1">
      <alignment horizontal="center" vertical="center"/>
    </xf>
    <xf numFmtId="0" fontId="40" fillId="15" borderId="0" xfId="0" applyFont="1" applyFill="1" applyAlignment="1">
      <alignment horizontal="center" vertical="center"/>
    </xf>
    <xf numFmtId="0" fontId="40" fillId="15" borderId="8" xfId="0" applyFont="1" applyFill="1" applyBorder="1" applyAlignment="1">
      <alignment horizontal="center" vertical="center"/>
    </xf>
    <xf numFmtId="0" fontId="40" fillId="15" borderId="9" xfId="0" applyFont="1" applyFill="1" applyBorder="1" applyAlignment="1">
      <alignment horizontal="center" vertical="center"/>
    </xf>
    <xf numFmtId="0" fontId="40" fillId="15" borderId="10" xfId="0" applyFont="1" applyFill="1" applyBorder="1" applyAlignment="1">
      <alignment horizontal="center" vertical="center"/>
    </xf>
    <xf numFmtId="0" fontId="40" fillId="15" borderId="11" xfId="0" applyFont="1" applyFill="1" applyBorder="1" applyAlignment="1">
      <alignment horizontal="center" vertic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15" fillId="12" borderId="0" xfId="0"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vertical="center"/>
    </xf>
    <xf numFmtId="0" fontId="21" fillId="12" borderId="0" xfId="0" applyFont="1" applyFill="1" applyBorder="1" applyAlignment="1">
      <alignment horizontal="center"/>
    </xf>
    <xf numFmtId="0" fontId="10" fillId="0" borderId="0" xfId="0" applyFont="1" applyAlignment="1">
      <alignment horizontal="left" vertical="center"/>
    </xf>
    <xf numFmtId="0" fontId="9" fillId="12" borderId="7" xfId="0" applyFont="1" applyFill="1" applyBorder="1" applyAlignment="1">
      <alignment horizontal="center" vertical="center"/>
    </xf>
    <xf numFmtId="0" fontId="9" fillId="12" borderId="0" xfId="0" applyFont="1" applyFill="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2" borderId="0" xfId="0" applyFont="1" applyFill="1" applyAlignment="1">
      <alignment horizontal="center" vertical="center"/>
    </xf>
    <xf numFmtId="43" fontId="13" fillId="2" borderId="1" xfId="123" applyNumberFormat="1" applyFont="1" applyFill="1" applyBorder="1" applyAlignment="1">
      <alignment horizontal="center" vertical="center"/>
    </xf>
  </cellXfs>
  <cellStyles count="237">
    <cellStyle name="Followed Hyperlink" xfId="233" builtinId="9" hidden="1"/>
    <cellStyle name="Followed Hyperlink" xfId="168" builtinId="9" hidden="1"/>
    <cellStyle name="Followed Hyperlink" xfId="145" builtinId="9" hidden="1"/>
    <cellStyle name="Followed Hyperlink" xfId="62" builtinId="9" hidden="1"/>
    <cellStyle name="Followed Hyperlink" xfId="193" builtinId="9" hidden="1"/>
    <cellStyle name="Followed Hyperlink" xfId="26" builtinId="9" hidden="1"/>
    <cellStyle name="Followed Hyperlink" xfId="40" builtinId="9" hidden="1"/>
    <cellStyle name="Followed Hyperlink" xfId="201" builtinId="9" hidden="1"/>
    <cellStyle name="Followed Hyperlink" xfId="114" builtinId="9" hidden="1"/>
    <cellStyle name="Followed Hyperlink" xfId="134" builtinId="9" hidden="1"/>
    <cellStyle name="Followed Hyperlink" xfId="206" builtinId="9" hidden="1"/>
    <cellStyle name="Followed Hyperlink" xfId="221" builtinId="9" hidden="1"/>
    <cellStyle name="Followed Hyperlink" xfId="228" builtinId="9" hidden="1"/>
    <cellStyle name="Followed Hyperlink" xfId="112" builtinId="9" hidden="1"/>
    <cellStyle name="Followed Hyperlink" xfId="109" builtinId="9" hidden="1"/>
    <cellStyle name="Followed Hyperlink" xfId="32" builtinId="9" hidden="1"/>
    <cellStyle name="Followed Hyperlink" xfId="70" builtinId="9" hidden="1"/>
    <cellStyle name="Followed Hyperlink" xfId="234" builtinId="9" hidden="1"/>
    <cellStyle name="Followed Hyperlink" xfId="126" builtinId="9" hidden="1"/>
    <cellStyle name="Followed Hyperlink" xfId="46" builtinId="9" hidden="1"/>
    <cellStyle name="Followed Hyperlink" xfId="133" builtinId="9" hidden="1"/>
    <cellStyle name="Followed Hyperlink" xfId="54" builtinId="9" hidden="1"/>
    <cellStyle name="Followed Hyperlink" xfId="171" builtinId="9" hidden="1"/>
    <cellStyle name="Followed Hyperlink" xfId="164" builtinId="9" hidden="1"/>
    <cellStyle name="Followed Hyperlink" xfId="175" builtinId="9" hidden="1"/>
    <cellStyle name="Followed Hyperlink" xfId="154" builtinId="9" hidden="1"/>
    <cellStyle name="Followed Hyperlink" xfId="210" builtinId="9" hidden="1"/>
    <cellStyle name="Followed Hyperlink" xfId="184" builtinId="9" hidden="1"/>
    <cellStyle name="Followed Hyperlink" xfId="159" builtinId="9" hidden="1"/>
    <cellStyle name="Followed Hyperlink" xfId="152" builtinId="9" hidden="1"/>
    <cellStyle name="Followed Hyperlink" xfId="141" builtinId="9" hidden="1"/>
    <cellStyle name="Followed Hyperlink" xfId="66" builtinId="9" hidden="1"/>
    <cellStyle name="Followed Hyperlink" xfId="50" builtinId="9" hidden="1"/>
    <cellStyle name="Followed Hyperlink" xfId="110" builtinId="9" hidden="1"/>
    <cellStyle name="Followed Hyperlink" xfId="223" builtinId="9" hidden="1"/>
    <cellStyle name="Followed Hyperlink" xfId="220" builtinId="9" hidden="1"/>
    <cellStyle name="Followed Hyperlink" xfId="139" builtinId="9" hidden="1"/>
    <cellStyle name="Followed Hyperlink" xfId="4" builtinId="9" hidden="1"/>
    <cellStyle name="Followed Hyperlink" xfId="203" builtinId="9" hidden="1"/>
    <cellStyle name="Followed Hyperlink" xfId="160" builtinId="9" hidden="1"/>
    <cellStyle name="Followed Hyperlink" xfId="113" builtinId="9" hidden="1"/>
    <cellStyle name="Followed Hyperlink" xfId="172" builtinId="9" hidden="1"/>
    <cellStyle name="Followed Hyperlink" xfId="224" builtinId="9" hidden="1"/>
    <cellStyle name="Followed Hyperlink" xfId="158" builtinId="9" hidden="1"/>
    <cellStyle name="Followed Hyperlink" xfId="58" builtinId="9" hidden="1"/>
    <cellStyle name="Followed Hyperlink" xfId="111" builtinId="9" hidden="1"/>
    <cellStyle name="Followed Hyperlink" xfId="207" builtinId="9" hidden="1"/>
    <cellStyle name="Followed Hyperlink" xfId="180" builtinId="9" hidden="1"/>
    <cellStyle name="Followed Hyperlink" xfId="148" builtinId="9" hidden="1"/>
    <cellStyle name="Followed Hyperlink" xfId="191" builtinId="9" hidden="1"/>
    <cellStyle name="Followed Hyperlink" xfId="213" builtinId="9" hidden="1"/>
    <cellStyle name="Followed Hyperlink" xfId="127" builtinId="9" hidden="1"/>
    <cellStyle name="Followed Hyperlink" xfId="76" builtinId="9" hidden="1"/>
    <cellStyle name="Followed Hyperlink" xfId="140" builtinId="9" hidden="1"/>
    <cellStyle name="Followed Hyperlink" xfId="130" builtinId="9" hidden="1"/>
    <cellStyle name="Followed Hyperlink" xfId="155" builtinId="9" hidden="1"/>
    <cellStyle name="Followed Hyperlink" xfId="214" builtinId="9" hidden="1"/>
    <cellStyle name="Followed Hyperlink" xfId="179" builtinId="9" hidden="1"/>
    <cellStyle name="Followed Hyperlink" xfId="22" builtinId="9" hidden="1"/>
    <cellStyle name="Followed Hyperlink" xfId="181" builtinId="9" hidden="1"/>
    <cellStyle name="Followed Hyperlink" xfId="6" builtinId="9" hidden="1"/>
    <cellStyle name="Followed Hyperlink" xfId="44" builtinId="9" hidden="1"/>
    <cellStyle name="Followed Hyperlink" xfId="118" builtinId="9" hidden="1"/>
    <cellStyle name="Followed Hyperlink" xfId="217" builtinId="9" hidden="1"/>
    <cellStyle name="Followed Hyperlink" xfId="230" builtinId="9" hidden="1"/>
    <cellStyle name="Followed Hyperlink" xfId="156" builtinId="9" hidden="1"/>
    <cellStyle name="Followed Hyperlink" xfId="144" builtinId="9" hidden="1"/>
    <cellStyle name="Followed Hyperlink" xfId="56" builtinId="9" hidden="1"/>
    <cellStyle name="Followed Hyperlink" xfId="119" builtinId="9" hidden="1"/>
    <cellStyle name="Followed Hyperlink" xfId="166" builtinId="9" hidden="1"/>
    <cellStyle name="Followed Hyperlink" xfId="143" builtinId="9" hidden="1"/>
    <cellStyle name="Followed Hyperlink" xfId="235" builtinId="9" hidden="1"/>
    <cellStyle name="Followed Hyperlink" xfId="106" builtinId="9" hidden="1"/>
    <cellStyle name="Followed Hyperlink" xfId="157" builtinId="9" hidden="1"/>
    <cellStyle name="Followed Hyperlink" xfId="236" builtinId="9" hidden="1"/>
    <cellStyle name="Followed Hyperlink" xfId="135" builtinId="9" hidden="1"/>
    <cellStyle name="Followed Hyperlink" xfId="226" builtinId="9" hidden="1"/>
    <cellStyle name="Followed Hyperlink" xfId="124" builtinId="9" hidden="1"/>
    <cellStyle name="Followed Hyperlink" xfId="78" builtinId="9" hidden="1"/>
    <cellStyle name="Followed Hyperlink" xfId="14" builtinId="9" hidden="1"/>
    <cellStyle name="Followed Hyperlink" xfId="153" builtinId="9" hidden="1"/>
    <cellStyle name="Followed Hyperlink" xfId="173" builtinId="9" hidden="1"/>
    <cellStyle name="Followed Hyperlink" xfId="189" builtinId="9" hidden="1"/>
    <cellStyle name="Followed Hyperlink" xfId="103" builtinId="9" hidden="1"/>
    <cellStyle name="Followed Hyperlink" xfId="115" builtinId="9" hidden="1"/>
    <cellStyle name="Followed Hyperlink" xfId="94" builtinId="9" hidden="1"/>
    <cellStyle name="Followed Hyperlink" xfId="132" builtinId="9" hidden="1"/>
    <cellStyle name="Followed Hyperlink" xfId="60" builtinId="9" hidden="1"/>
    <cellStyle name="Followed Hyperlink" xfId="90" builtinId="9" hidden="1"/>
    <cellStyle name="Followed Hyperlink" xfId="42" builtinId="9" hidden="1"/>
    <cellStyle name="Followed Hyperlink" xfId="36" builtinId="9" hidden="1"/>
    <cellStyle name="Followed Hyperlink" xfId="101" builtinId="9" hidden="1"/>
    <cellStyle name="Followed Hyperlink" xfId="170" builtinId="9" hidden="1"/>
    <cellStyle name="Followed Hyperlink" xfId="24" builtinId="9" hidden="1"/>
    <cellStyle name="Followed Hyperlink" xfId="86" builtinId="9" hidden="1"/>
    <cellStyle name="Followed Hyperlink" xfId="222" builtinId="9" hidden="1"/>
    <cellStyle name="Followed Hyperlink" xfId="202" builtinId="9" hidden="1"/>
    <cellStyle name="Followed Hyperlink" xfId="188" builtinId="9" hidden="1"/>
    <cellStyle name="Followed Hyperlink" xfId="215" builtinId="9" hidden="1"/>
    <cellStyle name="Followed Hyperlink" xfId="34" builtinId="9" hidden="1"/>
    <cellStyle name="Followed Hyperlink" xfId="192" builtinId="9" hidden="1"/>
    <cellStyle name="Followed Hyperlink" xfId="199" builtinId="9" hidden="1"/>
    <cellStyle name="Followed Hyperlink" xfId="146" builtinId="9" hidden="1"/>
    <cellStyle name="Followed Hyperlink" xfId="162" builtinId="9" hidden="1"/>
    <cellStyle name="Followed Hyperlink" xfId="185" builtinId="9" hidden="1"/>
    <cellStyle name="Followed Hyperlink" xfId="20" builtinId="9" hidden="1"/>
    <cellStyle name="Followed Hyperlink" xfId="149" builtinId="9" hidden="1"/>
    <cellStyle name="Followed Hyperlink" xfId="178" builtinId="9" hidden="1"/>
    <cellStyle name="Followed Hyperlink" xfId="151" builtinId="9" hidden="1"/>
    <cellStyle name="Followed Hyperlink" xfId="211" builtinId="9" hidden="1"/>
    <cellStyle name="Followed Hyperlink" xfId="48" builtinId="9" hidden="1"/>
    <cellStyle name="Followed Hyperlink" xfId="98" builtinId="9" hidden="1"/>
    <cellStyle name="Followed Hyperlink" xfId="72" builtinId="9" hidden="1"/>
    <cellStyle name="Followed Hyperlink" xfId="198" builtinId="9" hidden="1"/>
    <cellStyle name="Followed Hyperlink" xfId="2" builtinId="9" hidden="1"/>
    <cellStyle name="Followed Hyperlink" xfId="116" builtinId="9" hidden="1"/>
    <cellStyle name="Followed Hyperlink" xfId="197" builtinId="9" hidden="1"/>
    <cellStyle name="Followed Hyperlink" xfId="12" builtinId="9" hidden="1"/>
    <cellStyle name="Followed Hyperlink" xfId="167" builtinId="9" hidden="1"/>
    <cellStyle name="Followed Hyperlink" xfId="196" builtinId="9" hidden="1"/>
    <cellStyle name="Followed Hyperlink" xfId="102" builtinId="9" hidden="1"/>
    <cellStyle name="Followed Hyperlink" xfId="177" builtinId="9" hidden="1"/>
    <cellStyle name="Followed Hyperlink" xfId="30" builtinId="9" hidden="1"/>
    <cellStyle name="Followed Hyperlink" xfId="227" builtinId="9" hidden="1"/>
    <cellStyle name="Followed Hyperlink" xfId="204" builtinId="9" hidden="1"/>
    <cellStyle name="Followed Hyperlink" xfId="209" builtinId="9" hidden="1"/>
    <cellStyle name="Followed Hyperlink" xfId="219" builtinId="9" hidden="1"/>
    <cellStyle name="Followed Hyperlink" xfId="218" builtinId="9" hidden="1"/>
    <cellStyle name="Followed Hyperlink" xfId="174" builtinId="9" hidden="1"/>
    <cellStyle name="Followed Hyperlink" xfId="216" builtinId="9" hidden="1"/>
    <cellStyle name="Followed Hyperlink" xfId="200" builtinId="9" hidden="1"/>
    <cellStyle name="Followed Hyperlink" xfId="105" builtinId="9" hidden="1"/>
    <cellStyle name="Followed Hyperlink" xfId="121" builtinId="9" hidden="1"/>
    <cellStyle name="Followed Hyperlink" xfId="125" builtinId="9" hidden="1"/>
    <cellStyle name="Followed Hyperlink" xfId="147" builtinId="9" hidden="1"/>
    <cellStyle name="Followed Hyperlink" xfId="18" builtinId="9" hidden="1"/>
    <cellStyle name="Followed Hyperlink" xfId="74" builtinId="9" hidden="1"/>
    <cellStyle name="Followed Hyperlink" xfId="38" builtinId="9" hidden="1"/>
    <cellStyle name="Followed Hyperlink" xfId="64" builtinId="9" hidden="1"/>
    <cellStyle name="Followed Hyperlink" xfId="138" builtinId="9" hidden="1"/>
    <cellStyle name="Followed Hyperlink" xfId="131" builtinId="9" hidden="1"/>
    <cellStyle name="Followed Hyperlink" xfId="163" builtinId="9" hidden="1"/>
    <cellStyle name="Followed Hyperlink" xfId="68" builtinId="9" hidden="1"/>
    <cellStyle name="Followed Hyperlink" xfId="187" builtinId="9" hidden="1"/>
    <cellStyle name="Followed Hyperlink" xfId="136" builtinId="9" hidden="1"/>
    <cellStyle name="Followed Hyperlink" xfId="122" builtinId="9" hidden="1"/>
    <cellStyle name="Followed Hyperlink" xfId="212" builtinId="9" hidden="1"/>
    <cellStyle name="Followed Hyperlink" xfId="88" builtinId="9" hidden="1"/>
    <cellStyle name="Followed Hyperlink" xfId="28" builtinId="9" hidden="1"/>
    <cellStyle name="Followed Hyperlink" xfId="104" builtinId="9" hidden="1"/>
    <cellStyle name="Followed Hyperlink" xfId="186" builtinId="9" hidden="1"/>
    <cellStyle name="Followed Hyperlink" xfId="137" builtinId="9" hidden="1"/>
    <cellStyle name="Followed Hyperlink" xfId="120" builtinId="9" hidden="1"/>
    <cellStyle name="Followed Hyperlink" xfId="194" builtinId="9" hidden="1"/>
    <cellStyle name="Followed Hyperlink" xfId="229" builtinId="9" hidden="1"/>
    <cellStyle name="Followed Hyperlink" xfId="183" builtinId="9" hidden="1"/>
    <cellStyle name="Followed Hyperlink" xfId="195" builtinId="9" hidden="1"/>
    <cellStyle name="Followed Hyperlink" xfId="10" builtinId="9" hidden="1"/>
    <cellStyle name="Followed Hyperlink" xfId="176" builtinId="9" hidden="1"/>
    <cellStyle name="Followed Hyperlink" xfId="225" builtinId="9" hidden="1"/>
    <cellStyle name="Followed Hyperlink" xfId="150" builtinId="9" hidden="1"/>
    <cellStyle name="Followed Hyperlink" xfId="80" builtinId="9" hidden="1"/>
    <cellStyle name="Followed Hyperlink" xfId="231" builtinId="9" hidden="1"/>
    <cellStyle name="Followed Hyperlink" xfId="52" builtinId="9" hidden="1"/>
    <cellStyle name="Followed Hyperlink" xfId="208" builtinId="9" hidden="1"/>
    <cellStyle name="Followed Hyperlink" xfId="92" builtinId="9" hidden="1"/>
    <cellStyle name="Followed Hyperlink" xfId="16" builtinId="9" hidden="1"/>
    <cellStyle name="Followed Hyperlink" xfId="100" builtinId="9" hidden="1"/>
    <cellStyle name="Followed Hyperlink" xfId="84" builtinId="9" hidden="1"/>
    <cellStyle name="Followed Hyperlink" xfId="161" builtinId="9" hidden="1"/>
    <cellStyle name="Followed Hyperlink" xfId="117" builtinId="9" hidden="1"/>
    <cellStyle name="Followed Hyperlink" xfId="182" builtinId="9" hidden="1"/>
    <cellStyle name="Followed Hyperlink" xfId="142" builtinId="9" hidden="1"/>
    <cellStyle name="Followed Hyperlink" xfId="169" builtinId="9" hidden="1"/>
    <cellStyle name="Followed Hyperlink" xfId="190" builtinId="9" hidden="1"/>
    <cellStyle name="Followed Hyperlink" xfId="232" builtinId="9" hidden="1"/>
    <cellStyle name="Followed Hyperlink" xfId="128" builtinId="9" hidden="1"/>
    <cellStyle name="Followed Hyperlink" xfId="8" builtinId="9" hidden="1"/>
    <cellStyle name="Followed Hyperlink" xfId="165" builtinId="9" hidden="1"/>
    <cellStyle name="Followed Hyperlink" xfId="96" builtinId="9" hidden="1"/>
    <cellStyle name="Followed Hyperlink" xfId="82" builtinId="9" hidden="1"/>
    <cellStyle name="Followed Hyperlink" xfId="205" builtinId="9" hidden="1"/>
    <cellStyle name="Hyperlink" xfId="91" builtinId="8" hidden="1"/>
    <cellStyle name="Hyperlink" xfId="15" builtinId="8" hidden="1"/>
    <cellStyle name="Hyperlink" xfId="51" builtinId="8" hidden="1"/>
    <cellStyle name="Hyperlink" xfId="71" builtinId="8" hidden="1"/>
    <cellStyle name="Hyperlink" xfId="67" builtinId="8" hidden="1"/>
    <cellStyle name="Hyperlink" xfId="5" builtinId="8" hidden="1"/>
    <cellStyle name="Hyperlink" xfId="45" builtinId="8" hidden="1"/>
    <cellStyle name="Hyperlink" xfId="35" builtinId="8" hidden="1"/>
    <cellStyle name="Hyperlink" xfId="27" builtinId="8" hidden="1"/>
    <cellStyle name="Hyperlink" xfId="19" builtinId="8" hidden="1"/>
    <cellStyle name="Hyperlink" xfId="49" builtinId="8" hidden="1"/>
    <cellStyle name="Hyperlink" xfId="93" builtinId="8" hidden="1"/>
    <cellStyle name="Hyperlink" xfId="81" builtinId="8" hidden="1"/>
    <cellStyle name="Hyperlink" xfId="41" builtinId="8" hidden="1"/>
    <cellStyle name="Hyperlink" xfId="69" builtinId="8" hidden="1"/>
    <cellStyle name="Hyperlink" xfId="31" builtinId="8" hidden="1"/>
    <cellStyle name="Hyperlink" xfId="21" builtinId="8" hidden="1"/>
    <cellStyle name="Hyperlink" xfId="43" builtinId="8" hidden="1"/>
    <cellStyle name="Hyperlink" xfId="17" builtinId="8" hidden="1"/>
    <cellStyle name="Hyperlink" xfId="37" builtinId="8" hidden="1"/>
    <cellStyle name="Hyperlink" xfId="73" builtinId="8" hidden="1"/>
    <cellStyle name="Hyperlink" xfId="55" builtinId="8" hidden="1"/>
    <cellStyle name="Hyperlink" xfId="33" builtinId="8" hidden="1"/>
    <cellStyle name="Hyperlink" xfId="83" builtinId="8" hidden="1"/>
    <cellStyle name="Hyperlink" xfId="25" builtinId="8" hidden="1"/>
    <cellStyle name="Hyperlink" xfId="9" builtinId="8" hidden="1"/>
    <cellStyle name="Hyperlink" xfId="23" builtinId="8" hidden="1"/>
    <cellStyle name="Hyperlink" xfId="53" builtinId="8" hidden="1"/>
    <cellStyle name="Hyperlink" xfId="1" builtinId="8" hidden="1"/>
    <cellStyle name="Hyperlink" xfId="77" builtinId="8" hidden="1"/>
    <cellStyle name="Hyperlink" xfId="39" builtinId="8" hidden="1"/>
    <cellStyle name="Hyperlink" xfId="85" builtinId="8" hidden="1"/>
    <cellStyle name="Hyperlink" xfId="11" builtinId="8" hidden="1"/>
    <cellStyle name="Hyperlink" xfId="47" builtinId="8" hidden="1"/>
    <cellStyle name="Hyperlink" xfId="59" builtinId="8" hidden="1"/>
    <cellStyle name="Hyperlink" xfId="61" builtinId="8" hidden="1"/>
    <cellStyle name="Hyperlink" xfId="97" builtinId="8" hidden="1"/>
    <cellStyle name="Hyperlink" xfId="87" builtinId="8" hidden="1"/>
    <cellStyle name="Hyperlink" xfId="79" builtinId="8" hidden="1"/>
    <cellStyle name="Hyperlink" xfId="29" builtinId="8" hidden="1"/>
    <cellStyle name="Hyperlink" xfId="7" builtinId="8" hidden="1"/>
    <cellStyle name="Hyperlink" xfId="57" builtinId="8" hidden="1"/>
    <cellStyle name="Hyperlink" xfId="75" builtinId="8" hidden="1"/>
    <cellStyle name="Hyperlink" xfId="95" builtinId="8" hidden="1"/>
    <cellStyle name="Hyperlink" xfId="65" builtinId="8" hidden="1"/>
    <cellStyle name="Hyperlink" xfId="13" builtinId="8" hidden="1"/>
    <cellStyle name="Hyperlink" xfId="63" builtinId="8" hidden="1"/>
    <cellStyle name="Hyperlink" xfId="3" builtinId="8" hidden="1"/>
    <cellStyle name="Hyperlink" xfId="89" builtinId="8" hidden="1"/>
    <cellStyle name="Hyperlink" xfId="99" builtinId="8"/>
    <cellStyle name="Hyperlink 2" xfId="108" xr:uid="{00000000-0005-0000-0000-0000E8000000}"/>
    <cellStyle name="Normal" xfId="0" builtinId="0"/>
    <cellStyle name="Normal 2" xfId="107" xr:uid="{00000000-0005-0000-0000-0000EA000000}"/>
    <cellStyle name="Normal 3" xfId="123" xr:uid="{00000000-0005-0000-0000-0000EB000000}"/>
    <cellStyle name="Per cent" xfId="129" builtinId="5"/>
  </cellStyles>
  <dxfs count="0"/>
  <tableStyles count="0" defaultTableStyle="TableStyleMedium9" defaultPivotStyle="PivotStyleLight16"/>
  <colors>
    <mruColors>
      <color rgb="FFB7C2DB"/>
      <color rgb="FF182567"/>
      <color rgb="FF072FB4"/>
      <color rgb="FF000000"/>
      <color rgb="FF7C0682"/>
      <color rgb="FFBD9F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 /><Relationship Id="rId13" Type="http://schemas.openxmlformats.org/officeDocument/2006/relationships/sharedStrings" Target="sharedStrings.xml"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styles" Target="styles.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theme" Target="theme/theme1.xml" /><Relationship Id="rId5" Type="http://schemas.openxmlformats.org/officeDocument/2006/relationships/worksheet" Target="worksheets/sheet5.xml" /><Relationship Id="rId15" Type="http://schemas.microsoft.com/office/2006/relationships/vbaProject" Target="vbaProject.bin" /><Relationship Id="rId10" Type="http://schemas.openxmlformats.org/officeDocument/2006/relationships/externalLink" Target="externalLinks/externalLink3.xml" /><Relationship Id="rId4" Type="http://schemas.openxmlformats.org/officeDocument/2006/relationships/worksheet" Target="worksheets/sheet4.xml" /><Relationship Id="rId9" Type="http://schemas.openxmlformats.org/officeDocument/2006/relationships/externalLink" Target="externalLinks/externalLink2.xml" /><Relationship Id="rId14" Type="http://schemas.openxmlformats.org/officeDocument/2006/relationships/calcChain" Target="calcChain.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Fira Sans"/>
                <a:cs typeface="Fira Sans"/>
              </a:defRPr>
            </a:pPr>
            <a:r>
              <a:rPr lang="en-GB">
                <a:latin typeface="Fira Sans"/>
                <a:cs typeface="Fira Sans"/>
              </a:rPr>
              <a:t>Training Volume</a:t>
            </a:r>
            <a:r>
              <a:rPr lang="en-GB" baseline="0">
                <a:latin typeface="Fira Sans"/>
                <a:cs typeface="Fira Sans"/>
              </a:rPr>
              <a:t> (Yearly Progression)</a:t>
            </a:r>
            <a:endParaRPr lang="en-GB">
              <a:latin typeface="Fira Sans"/>
              <a:cs typeface="Fira Sans"/>
            </a:endParaRPr>
          </a:p>
        </c:rich>
      </c:tx>
      <c:layout>
        <c:manualLayout>
          <c:xMode val="edge"/>
          <c:yMode val="edge"/>
          <c:x val="0.34576638744441901"/>
          <c:y val="2.8605480032896299E-2"/>
        </c:manualLayout>
      </c:layout>
      <c:overlay val="0"/>
    </c:title>
    <c:autoTitleDeleted val="0"/>
    <c:plotArea>
      <c:layout/>
      <c:lineChart>
        <c:grouping val="standard"/>
        <c:varyColors val="0"/>
        <c:ser>
          <c:idx val="0"/>
          <c:order val="0"/>
          <c:tx>
            <c:v>Training Volume</c:v>
          </c:tx>
          <c:spPr>
            <a:ln>
              <a:solidFill>
                <a:srgbClr val="C00000"/>
              </a:solidFill>
            </a:ln>
          </c:spPr>
          <c:marker>
            <c:symbol val="none"/>
          </c:marker>
          <c:cat>
            <c:strRef>
              <c:f>'Macrocycle Analytics'!$A$8:$L$8</c:f>
              <c:strCache>
                <c:ptCount val="12"/>
                <c:pt idx="0">
                  <c:v>Meso 1</c:v>
                </c:pt>
                <c:pt idx="1">
                  <c:v>Meso 2</c:v>
                </c:pt>
                <c:pt idx="2">
                  <c:v>Meso 3</c:v>
                </c:pt>
                <c:pt idx="3">
                  <c:v>Meso 4</c:v>
                </c:pt>
                <c:pt idx="4">
                  <c:v>Meso 5</c:v>
                </c:pt>
                <c:pt idx="5">
                  <c:v>Meso 6</c:v>
                </c:pt>
                <c:pt idx="6">
                  <c:v>Meso 7</c:v>
                </c:pt>
                <c:pt idx="7">
                  <c:v>Meso 8</c:v>
                </c:pt>
                <c:pt idx="8">
                  <c:v>Meso 9 </c:v>
                </c:pt>
                <c:pt idx="9">
                  <c:v>Meso 10</c:v>
                </c:pt>
                <c:pt idx="10">
                  <c:v>Meso 11</c:v>
                </c:pt>
                <c:pt idx="11">
                  <c:v>Meso 12</c:v>
                </c:pt>
              </c:strCache>
            </c:strRef>
          </c:cat>
          <c:val>
            <c:numRef>
              <c:f>'Macrocycle Analytics'!$A$9:$L$9</c:f>
              <c:numCache>
                <c:formatCode>General</c:formatCode>
                <c:ptCount val="12"/>
                <c:pt idx="0">
                  <c:v>0</c:v>
                </c:pt>
                <c:pt idx="1">
                  <c:v>115000</c:v>
                </c:pt>
                <c:pt idx="2">
                  <c:v>120000</c:v>
                </c:pt>
                <c:pt idx="3">
                  <c:v>122500</c:v>
                </c:pt>
                <c:pt idx="4">
                  <c:v>120000</c:v>
                </c:pt>
                <c:pt idx="5">
                  <c:v>110000</c:v>
                </c:pt>
                <c:pt idx="6">
                  <c:v>99000</c:v>
                </c:pt>
                <c:pt idx="7">
                  <c:v>100000</c:v>
                </c:pt>
                <c:pt idx="8">
                  <c:v>120000</c:v>
                </c:pt>
                <c:pt idx="9">
                  <c:v>125000</c:v>
                </c:pt>
                <c:pt idx="10">
                  <c:v>130000</c:v>
                </c:pt>
                <c:pt idx="11">
                  <c:v>135000</c:v>
                </c:pt>
              </c:numCache>
            </c:numRef>
          </c:val>
          <c:smooth val="0"/>
          <c:extLst>
            <c:ext xmlns:c16="http://schemas.microsoft.com/office/drawing/2014/chart" uri="{C3380CC4-5D6E-409C-BE32-E72D297353CC}">
              <c16:uniqueId val="{00000000-AFFC-794B-BC7B-988F45D57F0B}"/>
            </c:ext>
          </c:extLst>
        </c:ser>
        <c:dLbls>
          <c:showLegendKey val="0"/>
          <c:showVal val="0"/>
          <c:showCatName val="0"/>
          <c:showSerName val="0"/>
          <c:showPercent val="0"/>
          <c:showBubbleSize val="0"/>
        </c:dLbls>
        <c:smooth val="0"/>
        <c:axId val="1285181696"/>
        <c:axId val="1283510784"/>
      </c:lineChart>
      <c:catAx>
        <c:axId val="1285181696"/>
        <c:scaling>
          <c:orientation val="minMax"/>
        </c:scaling>
        <c:delete val="0"/>
        <c:axPos val="b"/>
        <c:numFmt formatCode="General" sourceLinked="0"/>
        <c:majorTickMark val="out"/>
        <c:minorTickMark val="none"/>
        <c:tickLblPos val="nextTo"/>
        <c:crossAx val="1283510784"/>
        <c:crosses val="autoZero"/>
        <c:auto val="1"/>
        <c:lblAlgn val="ctr"/>
        <c:lblOffset val="100"/>
        <c:noMultiLvlLbl val="0"/>
      </c:catAx>
      <c:valAx>
        <c:axId val="1283510784"/>
        <c:scaling>
          <c:orientation val="minMax"/>
        </c:scaling>
        <c:delete val="0"/>
        <c:axPos val="l"/>
        <c:majorGridlines/>
        <c:numFmt formatCode="General" sourceLinked="1"/>
        <c:majorTickMark val="out"/>
        <c:minorTickMark val="none"/>
        <c:tickLblPos val="nextTo"/>
        <c:txPr>
          <a:bodyPr/>
          <a:lstStyle/>
          <a:p>
            <a:pPr>
              <a:defRPr>
                <a:latin typeface="Fira Sans"/>
                <a:cs typeface="Fira Sans"/>
              </a:defRPr>
            </a:pPr>
            <a:endParaRPr lang="en-US"/>
          </a:p>
        </c:txPr>
        <c:crossAx val="1285181696"/>
        <c:crosses val="autoZero"/>
        <c:crossBetween val="between"/>
      </c:valAx>
      <c:dTable>
        <c:showHorzBorder val="1"/>
        <c:showVertBorder val="1"/>
        <c:showOutline val="1"/>
        <c:showKeys val="1"/>
        <c:txPr>
          <a:bodyPr/>
          <a:lstStyle/>
          <a:p>
            <a:pPr rtl="0">
              <a:defRPr>
                <a:latin typeface="Fira Sans"/>
                <a:cs typeface="Fira Sans"/>
              </a:defRPr>
            </a:pPr>
            <a:endParaRPr lang="en-US"/>
          </a:p>
        </c:txPr>
      </c:dTable>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1"/>
          <c:order val="0"/>
          <c:tx>
            <c:strRef>
              <c:f>'Macrocycle Analytics'!$B$35</c:f>
              <c:strCache>
                <c:ptCount val="1"/>
                <c:pt idx="0">
                  <c:v>Squat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Analytics'!$B$36:$B$47</c:f>
              <c:numCache>
                <c:formatCode>General</c:formatCode>
                <c:ptCount val="12"/>
                <c:pt idx="0">
                  <c:v>300</c:v>
                </c:pt>
                <c:pt idx="1">
                  <c:v>400</c:v>
                </c:pt>
                <c:pt idx="2">
                  <c:v>3000</c:v>
                </c:pt>
                <c:pt idx="6">
                  <c:v>167</c:v>
                </c:pt>
                <c:pt idx="7">
                  <c:v>170</c:v>
                </c:pt>
                <c:pt idx="8">
                  <c:v>172.5</c:v>
                </c:pt>
                <c:pt idx="9">
                  <c:v>180</c:v>
                </c:pt>
                <c:pt idx="10">
                  <c:v>185</c:v>
                </c:pt>
                <c:pt idx="11">
                  <c:v>187.5</c:v>
                </c:pt>
              </c:numCache>
            </c:numRef>
          </c:val>
          <c:smooth val="0"/>
          <c:extLst>
            <c:ext xmlns:c16="http://schemas.microsoft.com/office/drawing/2014/chart" uri="{C3380CC4-5D6E-409C-BE32-E72D297353CC}">
              <c16:uniqueId val="{00000001-8AEB-714D-B9A0-DB125D85C2AB}"/>
            </c:ext>
          </c:extLst>
        </c:ser>
        <c:ser>
          <c:idx val="2"/>
          <c:order val="1"/>
          <c:tx>
            <c:strRef>
              <c:f>'Macrocycle Analytics'!$C$35</c:f>
              <c:strCache>
                <c:ptCount val="1"/>
                <c:pt idx="0">
                  <c:v>Bench</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Analytics'!$C$36:$C$47</c:f>
              <c:numCache>
                <c:formatCode>General</c:formatCode>
                <c:ptCount val="12"/>
                <c:pt idx="0">
                  <c:v>300</c:v>
                </c:pt>
                <c:pt idx="1">
                  <c:v>300</c:v>
                </c:pt>
                <c:pt idx="3">
                  <c:v>105</c:v>
                </c:pt>
                <c:pt idx="4">
                  <c:v>105</c:v>
                </c:pt>
                <c:pt idx="5">
                  <c:v>110</c:v>
                </c:pt>
                <c:pt idx="6">
                  <c:v>115</c:v>
                </c:pt>
                <c:pt idx="7">
                  <c:v>120</c:v>
                </c:pt>
                <c:pt idx="8">
                  <c:v>125</c:v>
                </c:pt>
                <c:pt idx="9">
                  <c:v>127.5</c:v>
                </c:pt>
                <c:pt idx="10">
                  <c:v>127.5</c:v>
                </c:pt>
                <c:pt idx="11">
                  <c:v>130</c:v>
                </c:pt>
              </c:numCache>
            </c:numRef>
          </c:val>
          <c:smooth val="0"/>
          <c:extLst>
            <c:ext xmlns:c16="http://schemas.microsoft.com/office/drawing/2014/chart" uri="{C3380CC4-5D6E-409C-BE32-E72D297353CC}">
              <c16:uniqueId val="{00000003-8AEB-714D-B9A0-DB125D85C2AB}"/>
            </c:ext>
          </c:extLst>
        </c:ser>
        <c:ser>
          <c:idx val="3"/>
          <c:order val="2"/>
          <c:tx>
            <c:strRef>
              <c:f>'Macrocycle Analytics'!$D$35</c:f>
              <c:strCache>
                <c:ptCount val="1"/>
                <c:pt idx="0">
                  <c:v>Deadlift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Analytics'!$D$36:$D$47</c:f>
              <c:numCache>
                <c:formatCode>General</c:formatCode>
                <c:ptCount val="12"/>
                <c:pt idx="0">
                  <c:v>700</c:v>
                </c:pt>
                <c:pt idx="1">
                  <c:v>300</c:v>
                </c:pt>
                <c:pt idx="3">
                  <c:v>193</c:v>
                </c:pt>
                <c:pt idx="4">
                  <c:v>193</c:v>
                </c:pt>
                <c:pt idx="5">
                  <c:v>193</c:v>
                </c:pt>
                <c:pt idx="6">
                  <c:v>195</c:v>
                </c:pt>
                <c:pt idx="7">
                  <c:v>200</c:v>
                </c:pt>
                <c:pt idx="8">
                  <c:v>205</c:v>
                </c:pt>
                <c:pt idx="9">
                  <c:v>205</c:v>
                </c:pt>
                <c:pt idx="10">
                  <c:v>210</c:v>
                </c:pt>
                <c:pt idx="11">
                  <c:v>210</c:v>
                </c:pt>
              </c:numCache>
            </c:numRef>
          </c:val>
          <c:smooth val="0"/>
          <c:extLst>
            <c:ext xmlns:c16="http://schemas.microsoft.com/office/drawing/2014/chart" uri="{C3380CC4-5D6E-409C-BE32-E72D297353CC}">
              <c16:uniqueId val="{00000005-8AEB-714D-B9A0-DB125D85C2AB}"/>
            </c:ext>
          </c:extLst>
        </c:ser>
        <c:dLbls>
          <c:showLegendKey val="0"/>
          <c:showVal val="0"/>
          <c:showCatName val="0"/>
          <c:showSerName val="0"/>
          <c:showPercent val="0"/>
          <c:showBubbleSize val="0"/>
        </c:dLbls>
        <c:smooth val="0"/>
        <c:axId val="1285228096"/>
        <c:axId val="1285231488"/>
      </c:lineChart>
      <c:catAx>
        <c:axId val="1285228096"/>
        <c:scaling>
          <c:orientation val="minMax"/>
        </c:scaling>
        <c:delete val="0"/>
        <c:axPos val="b"/>
        <c:title>
          <c:tx>
            <c:rich>
              <a:bodyPr/>
              <a:lstStyle/>
              <a:p>
                <a:pPr>
                  <a:defRPr/>
                </a:pPr>
                <a:r>
                  <a:rPr lang="en-US"/>
                  <a:t>Mesocycle</a:t>
                </a:r>
              </a:p>
            </c:rich>
          </c:tx>
          <c:overlay val="0"/>
        </c:title>
        <c:numFmt formatCode="General" sourceLinked="1"/>
        <c:majorTickMark val="out"/>
        <c:minorTickMark val="none"/>
        <c:tickLblPos val="nextTo"/>
        <c:crossAx val="1285231488"/>
        <c:crosses val="autoZero"/>
        <c:auto val="1"/>
        <c:lblAlgn val="ctr"/>
        <c:lblOffset val="100"/>
        <c:noMultiLvlLbl val="0"/>
      </c:catAx>
      <c:valAx>
        <c:axId val="1285231488"/>
        <c:scaling>
          <c:orientation val="minMax"/>
        </c:scaling>
        <c:delete val="0"/>
        <c:axPos val="l"/>
        <c:majorGridlines/>
        <c:title>
          <c:tx>
            <c:rich>
              <a:bodyPr rot="-5400000" vert="horz"/>
              <a:lstStyle/>
              <a:p>
                <a:pPr>
                  <a:defRPr/>
                </a:pPr>
                <a:r>
                  <a:rPr lang="en-US"/>
                  <a:t>1RM (kg)</a:t>
                </a:r>
              </a:p>
            </c:rich>
          </c:tx>
          <c:overlay val="0"/>
        </c:title>
        <c:numFmt formatCode="General" sourceLinked="1"/>
        <c:majorTickMark val="out"/>
        <c:minorTickMark val="none"/>
        <c:tickLblPos val="nextTo"/>
        <c:crossAx val="128522809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 /></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 /><Relationship Id="rId1" Type="http://schemas.openxmlformats.org/officeDocument/2006/relationships/chart" Target="../charts/chart1.xml" /></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 /></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 /></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 /></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50800</xdr:colOff>
          <xdr:row>4</xdr:row>
          <xdr:rowOff>127000</xdr:rowOff>
        </xdr:from>
        <xdr:to>
          <xdr:col>3</xdr:col>
          <xdr:colOff>1193800</xdr:colOff>
          <xdr:row>6</xdr:row>
          <xdr:rowOff>76200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5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10</xdr:row>
          <xdr:rowOff>146050</xdr:rowOff>
        </xdr:from>
        <xdr:to>
          <xdr:col>3</xdr:col>
          <xdr:colOff>812800</xdr:colOff>
          <xdr:row>12</xdr:row>
          <xdr:rowOff>31750</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Reset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3</xdr:row>
          <xdr:rowOff>127000</xdr:rowOff>
        </xdr:from>
        <xdr:to>
          <xdr:col>3</xdr:col>
          <xdr:colOff>1193800</xdr:colOff>
          <xdr:row>5</xdr:row>
          <xdr:rowOff>76200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4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114300</xdr:rowOff>
        </xdr:from>
        <xdr:to>
          <xdr:col>3</xdr:col>
          <xdr:colOff>1181100</xdr:colOff>
          <xdr:row>4</xdr:row>
          <xdr:rowOff>69850</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3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xdr:row>
          <xdr:rowOff>107950</xdr:rowOff>
        </xdr:from>
        <xdr:to>
          <xdr:col>3</xdr:col>
          <xdr:colOff>1174750</xdr:colOff>
          <xdr:row>3</xdr:row>
          <xdr:rowOff>69850</xdr:rowOff>
        </xdr:to>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2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133350</xdr:rowOff>
        </xdr:from>
        <xdr:to>
          <xdr:col>3</xdr:col>
          <xdr:colOff>1181100</xdr:colOff>
          <xdr:row>8</xdr:row>
          <xdr:rowOff>88900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152400</xdr:rowOff>
        </xdr:from>
        <xdr:to>
          <xdr:col>3</xdr:col>
          <xdr:colOff>1181100</xdr:colOff>
          <xdr:row>9</xdr:row>
          <xdr:rowOff>107950</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12700</xdr:rowOff>
        </xdr:from>
        <xdr:to>
          <xdr:col>3</xdr:col>
          <xdr:colOff>1181100</xdr:colOff>
          <xdr:row>10</xdr:row>
          <xdr:rowOff>152400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5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6</xdr:row>
          <xdr:rowOff>152400</xdr:rowOff>
        </xdr:from>
        <xdr:to>
          <xdr:col>3</xdr:col>
          <xdr:colOff>2146300</xdr:colOff>
          <xdr:row>8</xdr:row>
          <xdr:rowOff>107950</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6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7</xdr:row>
          <xdr:rowOff>171450</xdr:rowOff>
        </xdr:from>
        <xdr:to>
          <xdr:col>3</xdr:col>
          <xdr:colOff>2146300</xdr:colOff>
          <xdr:row>9</xdr:row>
          <xdr:rowOff>127000</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7 Weeks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476251</xdr:colOff>
      <xdr:row>6</xdr:row>
      <xdr:rowOff>98425</xdr:rowOff>
    </xdr:from>
    <xdr:to>
      <xdr:col>18</xdr:col>
      <xdr:colOff>283006</xdr:colOff>
      <xdr:row>20</xdr:row>
      <xdr:rowOff>2706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483601" y="1203325"/>
          <a:ext cx="2886505" cy="248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126999</xdr:colOff>
      <xdr:row>9</xdr:row>
      <xdr:rowOff>79374</xdr:rowOff>
    </xdr:from>
    <xdr:to>
      <xdr:col>13</xdr:col>
      <xdr:colOff>876300</xdr:colOff>
      <xdr:row>31</xdr:row>
      <xdr:rowOff>47625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32</xdr:row>
      <xdr:rowOff>177800</xdr:rowOff>
    </xdr:from>
    <xdr:to>
      <xdr:col>13</xdr:col>
      <xdr:colOff>889000</xdr:colOff>
      <xdr:row>51</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nzi/Desktop/Bear/Powerlifting/2018/20180526%20All%20England/20180324%20new%20program.xlsx" TargetMode="External" /></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AppData/Roaming/Microsoft/Excel/RPE-Template-wData-Tracking-7-1-14%20(version%201).xlsb" TargetMode="External" /></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Google%20Drive/EFM%20&amp;%20SBS/SBS%20Application%20Data/Phase%202/Evan%20Chaffey%20SBS%20ClientProgramme.xlsm"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Formulas"/>
      <sheetName val="4 Week Meso 1"/>
      <sheetName val="4 Week 6 day per week training"/>
      <sheetName val="531 Template"/>
      <sheetName val="Training Plan"/>
      <sheetName val="RM Calculator"/>
      <sheetName val="PG Mobility"/>
      <sheetName val="Macrocycle Analytics"/>
      <sheetName val="Attempt Selection Calculator"/>
    </sheetNames>
    <sheetDataSet>
      <sheetData sheetId="0"/>
      <sheetData sheetId="1">
        <row r="2">
          <cell r="F2">
            <v>16</v>
          </cell>
          <cell r="H2" t="str">
            <v>Male</v>
          </cell>
          <cell r="I2" t="str">
            <v>4'5"</v>
          </cell>
        </row>
        <row r="3">
          <cell r="F3">
            <v>17</v>
          </cell>
          <cell r="H3" t="str">
            <v>Female</v>
          </cell>
          <cell r="I3" t="str">
            <v>4'6"</v>
          </cell>
        </row>
        <row r="4">
          <cell r="F4">
            <v>18</v>
          </cell>
          <cell r="I4" t="str">
            <v>4'7"</v>
          </cell>
        </row>
        <row r="5">
          <cell r="F5">
            <v>19</v>
          </cell>
          <cell r="I5" t="str">
            <v>4'8"</v>
          </cell>
        </row>
        <row r="6">
          <cell r="F6">
            <v>20</v>
          </cell>
          <cell r="I6" t="str">
            <v>4'9"</v>
          </cell>
        </row>
        <row r="7">
          <cell r="F7">
            <v>21</v>
          </cell>
          <cell r="I7" t="str">
            <v>4'10"</v>
          </cell>
        </row>
        <row r="8">
          <cell r="F8">
            <v>22</v>
          </cell>
          <cell r="I8" t="str">
            <v>4'11"</v>
          </cell>
        </row>
        <row r="9">
          <cell r="F9">
            <v>23</v>
          </cell>
          <cell r="I9" t="str">
            <v>5'0"</v>
          </cell>
        </row>
        <row r="10">
          <cell r="F10">
            <v>24</v>
          </cell>
          <cell r="I10" t="str">
            <v>5'1"</v>
          </cell>
        </row>
        <row r="11">
          <cell r="F11">
            <v>25</v>
          </cell>
          <cell r="I11" t="str">
            <v>5'2"</v>
          </cell>
        </row>
        <row r="12">
          <cell r="F12">
            <v>26</v>
          </cell>
          <cell r="I12" t="str">
            <v>5'3"</v>
          </cell>
        </row>
        <row r="13">
          <cell r="F13">
            <v>27</v>
          </cell>
          <cell r="I13" t="str">
            <v>5'4"</v>
          </cell>
        </row>
        <row r="14">
          <cell r="F14">
            <v>28</v>
          </cell>
          <cell r="I14" t="str">
            <v>5'5"</v>
          </cell>
        </row>
        <row r="15">
          <cell r="F15">
            <v>29</v>
          </cell>
          <cell r="I15" t="str">
            <v>5'6"</v>
          </cell>
        </row>
        <row r="16">
          <cell r="F16">
            <v>30</v>
          </cell>
          <cell r="I16" t="str">
            <v>5'7"</v>
          </cell>
        </row>
        <row r="17">
          <cell r="F17">
            <v>31</v>
          </cell>
          <cell r="I17" t="str">
            <v>5'8"</v>
          </cell>
        </row>
        <row r="18">
          <cell r="F18">
            <v>32</v>
          </cell>
          <cell r="I18" t="str">
            <v>5'9"</v>
          </cell>
        </row>
        <row r="19">
          <cell r="F19">
            <v>33</v>
          </cell>
          <cell r="I19" t="str">
            <v>5'10"</v>
          </cell>
        </row>
        <row r="20">
          <cell r="F20">
            <v>34</v>
          </cell>
          <cell r="I20" t="str">
            <v>5'11"</v>
          </cell>
        </row>
        <row r="21">
          <cell r="F21">
            <v>35</v>
          </cell>
          <cell r="I21" t="str">
            <v>6'0"</v>
          </cell>
        </row>
        <row r="22">
          <cell r="F22">
            <v>36</v>
          </cell>
          <cell r="I22" t="str">
            <v>6'1"</v>
          </cell>
        </row>
        <row r="23">
          <cell r="F23">
            <v>37</v>
          </cell>
          <cell r="I23" t="str">
            <v>6'2"</v>
          </cell>
        </row>
        <row r="24">
          <cell r="F24">
            <v>38</v>
          </cell>
          <cell r="I24" t="str">
            <v>6'3"</v>
          </cell>
        </row>
        <row r="25">
          <cell r="F25">
            <v>39</v>
          </cell>
          <cell r="I25" t="str">
            <v>6'4"</v>
          </cell>
        </row>
        <row r="26">
          <cell r="F26">
            <v>40</v>
          </cell>
          <cell r="I26" t="str">
            <v>6'5"</v>
          </cell>
        </row>
        <row r="27">
          <cell r="I27" t="str">
            <v>6'6"</v>
          </cell>
        </row>
        <row r="28">
          <cell r="I28" t="str">
            <v>6'7"</v>
          </cell>
        </row>
        <row r="29">
          <cell r="I29" t="str">
            <v>6'8"</v>
          </cell>
        </row>
        <row r="30">
          <cell r="I30" t="str">
            <v>6'9"</v>
          </cell>
        </row>
        <row r="31">
          <cell r="I31" t="str">
            <v>6'10"</v>
          </cell>
        </row>
        <row r="32">
          <cell r="I32" t="str">
            <v>6'11"</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tri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 /><Relationship Id="rId13" Type="http://schemas.openxmlformats.org/officeDocument/2006/relationships/ctrlProp" Target="../ctrlProps/ctrlProp10.xml" /><Relationship Id="rId3" Type="http://schemas.openxmlformats.org/officeDocument/2006/relationships/vmlDrawing" Target="../drawings/vmlDrawing2.vml" /><Relationship Id="rId7" Type="http://schemas.openxmlformats.org/officeDocument/2006/relationships/ctrlProp" Target="../ctrlProps/ctrlProp4.xml" /><Relationship Id="rId12" Type="http://schemas.openxmlformats.org/officeDocument/2006/relationships/ctrlProp" Target="../ctrlProps/ctrlProp9.xml" /><Relationship Id="rId2" Type="http://schemas.openxmlformats.org/officeDocument/2006/relationships/drawing" Target="../drawings/drawing1.xml" /><Relationship Id="rId1" Type="http://schemas.openxmlformats.org/officeDocument/2006/relationships/printerSettings" Target="../printerSettings/printerSettings2.bin" /><Relationship Id="rId6" Type="http://schemas.openxmlformats.org/officeDocument/2006/relationships/ctrlProp" Target="../ctrlProps/ctrlProp3.xml" /><Relationship Id="rId11" Type="http://schemas.openxmlformats.org/officeDocument/2006/relationships/ctrlProp" Target="../ctrlProps/ctrlProp8.xml" /><Relationship Id="rId5" Type="http://schemas.openxmlformats.org/officeDocument/2006/relationships/ctrlProp" Target="../ctrlProps/ctrlProp2.xml" /><Relationship Id="rId10" Type="http://schemas.openxmlformats.org/officeDocument/2006/relationships/ctrlProp" Target="../ctrlProps/ctrlProp7.xml" /><Relationship Id="rId4" Type="http://schemas.openxmlformats.org/officeDocument/2006/relationships/ctrlProp" Target="../ctrlProps/ctrlProp1.xml" /><Relationship Id="rId9" Type="http://schemas.openxmlformats.org/officeDocument/2006/relationships/ctrlProp" Target="../ctrlProps/ctrlProp6.xml" /></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 /><Relationship Id="rId1" Type="http://schemas.openxmlformats.org/officeDocument/2006/relationships/printerSettings" Target="../printerSettings/printerSettings3.bin" /></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 /><Relationship Id="rId1" Type="http://schemas.openxmlformats.org/officeDocument/2006/relationships/printerSettings" Target="../printerSettings/printerSettings4.bin" /></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 /><Relationship Id="rId1" Type="http://schemas.openxmlformats.org/officeDocument/2006/relationships/printerSettings" Target="../printerSettings/printerSettings5.bin" /></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 /><Relationship Id="rId2" Type="http://schemas.openxmlformats.org/officeDocument/2006/relationships/drawing" Target="../drawings/drawing3.xml" /><Relationship Id="rId1" Type="http://schemas.openxmlformats.org/officeDocument/2006/relationships/printerSettings" Target="../printerSettings/printerSettings6.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2:R39"/>
  <sheetViews>
    <sheetView showGridLines="0" zoomScale="125" zoomScaleNormal="125" zoomScalePageLayoutView="125" workbookViewId="0">
      <selection activeCell="I20" sqref="I20:K24"/>
    </sheetView>
  </sheetViews>
  <sheetFormatPr defaultColWidth="8.875" defaultRowHeight="15" x14ac:dyDescent="0.2"/>
  <cols>
    <col min="1" max="1" width="6.1875" style="1" customWidth="1"/>
    <col min="2" max="2" width="8.875" style="1" hidden="1" customWidth="1"/>
    <col min="3" max="3" width="13.046875" style="1" customWidth="1"/>
    <col min="4" max="4" width="10.35546875" style="1" customWidth="1"/>
    <col min="5" max="5" width="12.5078125" style="1" bestFit="1" customWidth="1"/>
    <col min="6" max="7" width="8.875" style="1"/>
    <col min="8" max="8" width="18.4296875" style="1" customWidth="1"/>
    <col min="9" max="10" width="8.875" style="1"/>
    <col min="11" max="11" width="20.17578125" style="1" customWidth="1"/>
    <col min="12" max="13" width="8.875" style="1"/>
    <col min="14" max="14" width="23.5390625" style="1" customWidth="1"/>
    <col min="15" max="16384" width="8.875" style="1"/>
  </cols>
  <sheetData>
    <row r="2" spans="3:18" ht="70.5" x14ac:dyDescent="0.2">
      <c r="C2" s="198" t="s">
        <v>0</v>
      </c>
      <c r="D2" s="183"/>
      <c r="E2" s="183"/>
      <c r="F2" s="183"/>
      <c r="G2" s="182" t="s">
        <v>1</v>
      </c>
      <c r="H2" s="183"/>
      <c r="I2" s="183"/>
      <c r="J2" s="183"/>
      <c r="K2" s="182" t="s">
        <v>2</v>
      </c>
      <c r="L2" s="183"/>
      <c r="M2" s="183"/>
      <c r="N2" s="184"/>
      <c r="R2" s="77" t="s">
        <v>3</v>
      </c>
    </row>
    <row r="3" spans="3:18" x14ac:dyDescent="0.2">
      <c r="C3" s="131" t="s">
        <v>4</v>
      </c>
      <c r="D3" s="27"/>
      <c r="E3" s="131" t="s">
        <v>5</v>
      </c>
      <c r="F3" s="24"/>
      <c r="G3" s="180" t="s">
        <v>6</v>
      </c>
      <c r="H3" s="181"/>
      <c r="I3" s="181"/>
      <c r="J3" s="181"/>
      <c r="K3" s="185" t="s">
        <v>7</v>
      </c>
      <c r="L3" s="186"/>
      <c r="M3" s="186"/>
      <c r="N3" s="187"/>
      <c r="R3" s="78" t="s">
        <v>8</v>
      </c>
    </row>
    <row r="4" spans="3:18" x14ac:dyDescent="0.2">
      <c r="C4" s="131" t="s">
        <v>9</v>
      </c>
      <c r="D4" s="28"/>
      <c r="E4" s="131" t="s">
        <v>10</v>
      </c>
      <c r="F4" s="26"/>
      <c r="G4" s="180" t="s">
        <v>11</v>
      </c>
      <c r="H4" s="181"/>
      <c r="I4" s="181"/>
      <c r="J4" s="181"/>
      <c r="K4" s="188"/>
      <c r="L4" s="189"/>
      <c r="M4" s="189"/>
      <c r="N4" s="190"/>
      <c r="R4" s="78" t="s">
        <v>12</v>
      </c>
    </row>
    <row r="5" spans="3:18" x14ac:dyDescent="0.2">
      <c r="C5" s="132" t="s">
        <v>13</v>
      </c>
      <c r="D5" s="29"/>
      <c r="E5" s="132" t="s">
        <v>14</v>
      </c>
      <c r="F5" s="25"/>
      <c r="G5" s="180" t="s">
        <v>15</v>
      </c>
      <c r="H5" s="181"/>
      <c r="I5" s="181"/>
      <c r="J5" s="181"/>
      <c r="K5" s="191"/>
      <c r="L5" s="192"/>
      <c r="M5" s="192"/>
      <c r="N5" s="193"/>
      <c r="R5" s="78" t="s">
        <v>16</v>
      </c>
    </row>
    <row r="6" spans="3:18" x14ac:dyDescent="0.2">
      <c r="C6" s="2"/>
      <c r="D6" s="2"/>
      <c r="E6" s="2"/>
      <c r="F6" s="2"/>
      <c r="G6" s="3"/>
      <c r="H6" s="3"/>
      <c r="I6" s="3"/>
      <c r="J6" s="3"/>
      <c r="K6" s="2"/>
      <c r="L6" s="2"/>
      <c r="M6" s="2"/>
      <c r="N6" s="2"/>
      <c r="R6" s="78" t="s">
        <v>17</v>
      </c>
    </row>
    <row r="7" spans="3:18" x14ac:dyDescent="0.2">
      <c r="C7" s="2"/>
      <c r="D7" s="2"/>
      <c r="E7" s="199" t="s">
        <v>18</v>
      </c>
      <c r="F7" s="199"/>
      <c r="G7" s="199"/>
      <c r="H7" s="199"/>
      <c r="I7" s="199"/>
      <c r="J7" s="199"/>
      <c r="K7" s="199"/>
      <c r="L7" s="199"/>
      <c r="M7" s="2"/>
      <c r="N7" s="2"/>
      <c r="R7" s="78" t="s">
        <v>19</v>
      </c>
    </row>
    <row r="8" spans="3:18" x14ac:dyDescent="0.2">
      <c r="C8" s="198" t="s">
        <v>20</v>
      </c>
      <c r="D8" s="183"/>
      <c r="E8" s="183"/>
      <c r="F8" s="183"/>
      <c r="G8" s="182" t="s">
        <v>21</v>
      </c>
      <c r="H8" s="183"/>
      <c r="I8" s="183"/>
      <c r="J8" s="183"/>
      <c r="K8" s="182" t="s">
        <v>22</v>
      </c>
      <c r="L8" s="183"/>
      <c r="M8" s="183"/>
      <c r="N8" s="184"/>
      <c r="R8" s="78" t="s">
        <v>7</v>
      </c>
    </row>
    <row r="9" spans="3:18" x14ac:dyDescent="0.2">
      <c r="C9" s="171">
        <v>43951</v>
      </c>
      <c r="D9" s="172"/>
      <c r="E9" s="172"/>
      <c r="F9" s="173"/>
      <c r="G9" s="194" t="str">
        <f ca="1">IF(OR(C9="",ISTEXT(C9)),"",QUOTIENT(C9-TODAY(),7)&amp;" weeks - "&amp;MOD(C9-TODAY(),7)&amp;" days out")</f>
        <v>-81 weeks - 6 days out</v>
      </c>
      <c r="H9" s="195"/>
      <c r="I9" s="195"/>
      <c r="J9" s="196"/>
      <c r="K9" s="194" t="s">
        <v>23</v>
      </c>
      <c r="L9" s="195"/>
      <c r="M9" s="195"/>
      <c r="N9" s="196"/>
      <c r="R9" s="78" t="s">
        <v>24</v>
      </c>
    </row>
    <row r="10" spans="3:18" x14ac:dyDescent="0.2">
      <c r="C10" s="171" t="s">
        <v>25</v>
      </c>
      <c r="D10" s="172"/>
      <c r="E10" s="172"/>
      <c r="F10" s="173"/>
      <c r="G10" s="174" t="str">
        <f ca="1">IF(OR(C10="",ISTEXT(C10)),"",QUOTIENT(C10-TODAY(),7)&amp;" weeks - "&amp;MOD(C10-TODAY(),7)&amp;" days out")</f>
        <v/>
      </c>
      <c r="H10" s="175"/>
      <c r="I10" s="175"/>
      <c r="J10" s="176"/>
      <c r="K10" s="174"/>
      <c r="L10" s="175"/>
      <c r="M10" s="175"/>
      <c r="N10" s="176"/>
      <c r="R10" s="78" t="s">
        <v>26</v>
      </c>
    </row>
    <row r="11" spans="3:18" x14ac:dyDescent="0.2">
      <c r="C11" s="171" t="s">
        <v>27</v>
      </c>
      <c r="D11" s="172"/>
      <c r="E11" s="172"/>
      <c r="F11" s="173"/>
      <c r="G11" s="177"/>
      <c r="H11" s="178"/>
      <c r="I11" s="178"/>
      <c r="J11" s="179"/>
      <c r="K11" s="177"/>
      <c r="L11" s="178"/>
      <c r="M11" s="178"/>
      <c r="N11" s="179"/>
      <c r="R11" s="78" t="s">
        <v>28</v>
      </c>
    </row>
    <row r="12" spans="3:18" x14ac:dyDescent="0.2">
      <c r="R12" s="78" t="s">
        <v>29</v>
      </c>
    </row>
    <row r="13" spans="3:18" x14ac:dyDescent="0.2">
      <c r="C13" s="198" t="s">
        <v>30</v>
      </c>
      <c r="D13" s="183"/>
      <c r="E13" s="183"/>
      <c r="F13" s="183"/>
      <c r="G13" s="183"/>
      <c r="H13" s="183"/>
      <c r="I13" s="183"/>
      <c r="J13" s="183"/>
      <c r="K13" s="183"/>
      <c r="L13" s="183"/>
      <c r="M13" s="183"/>
      <c r="N13" s="184"/>
      <c r="R13" s="78" t="s">
        <v>31</v>
      </c>
    </row>
    <row r="14" spans="3:18" x14ac:dyDescent="0.2">
      <c r="C14" s="133"/>
      <c r="D14" s="134" t="s">
        <v>32</v>
      </c>
      <c r="E14" s="135"/>
      <c r="F14" s="133"/>
      <c r="G14" s="134" t="s">
        <v>33</v>
      </c>
      <c r="H14" s="136"/>
      <c r="I14" s="147"/>
      <c r="J14" s="134" t="s">
        <v>34</v>
      </c>
      <c r="K14" s="135"/>
      <c r="L14" s="133"/>
      <c r="M14" s="137" t="s">
        <v>35</v>
      </c>
      <c r="N14" s="135"/>
      <c r="R14" s="78" t="s">
        <v>36</v>
      </c>
    </row>
    <row r="15" spans="3:18" x14ac:dyDescent="0.2">
      <c r="C15" s="30" t="s">
        <v>37</v>
      </c>
      <c r="D15" s="31" t="s">
        <v>10</v>
      </c>
      <c r="E15" s="32" t="s">
        <v>38</v>
      </c>
      <c r="F15" s="30" t="s">
        <v>37</v>
      </c>
      <c r="G15" s="31" t="s">
        <v>10</v>
      </c>
      <c r="H15" s="32" t="s">
        <v>38</v>
      </c>
      <c r="I15" s="30" t="s">
        <v>37</v>
      </c>
      <c r="J15" s="31" t="s">
        <v>10</v>
      </c>
      <c r="K15" s="32" t="s">
        <v>38</v>
      </c>
      <c r="L15" s="30" t="s">
        <v>37</v>
      </c>
      <c r="M15" s="31" t="s">
        <v>10</v>
      </c>
      <c r="N15" s="32" t="s">
        <v>38</v>
      </c>
      <c r="R15" s="78" t="s">
        <v>39</v>
      </c>
    </row>
    <row r="16" spans="3:18" x14ac:dyDescent="0.2">
      <c r="C16" s="138">
        <f>(D16/(1.0278-(0.0278*E16)))</f>
        <v>146.26462646264625</v>
      </c>
      <c r="D16" s="4">
        <v>130</v>
      </c>
      <c r="E16" s="5">
        <v>5</v>
      </c>
      <c r="F16" s="138">
        <f>(G16/(1.0278-(0.0278*H16)))</f>
        <v>105.88733587462939</v>
      </c>
      <c r="G16" s="4">
        <v>100</v>
      </c>
      <c r="H16" s="5">
        <v>3</v>
      </c>
      <c r="I16" s="138">
        <f>J16/(1.0278-(0.0278*K16))</f>
        <v>195.43303846945071</v>
      </c>
      <c r="J16" s="4">
        <v>190</v>
      </c>
      <c r="K16" s="5">
        <v>2</v>
      </c>
      <c r="L16" s="139">
        <f>M16/(1.0278-(0.0278*N16))</f>
        <v>56.255625562556254</v>
      </c>
      <c r="M16" s="4">
        <v>50</v>
      </c>
      <c r="N16" s="5">
        <v>5</v>
      </c>
      <c r="R16" s="78" t="s">
        <v>40</v>
      </c>
    </row>
    <row r="17" spans="3:18" x14ac:dyDescent="0.2">
      <c r="R17" s="78" t="s">
        <v>41</v>
      </c>
    </row>
    <row r="18" spans="3:18" x14ac:dyDescent="0.2">
      <c r="C18" s="198" t="s">
        <v>42</v>
      </c>
      <c r="D18" s="183"/>
      <c r="E18" s="183"/>
      <c r="F18" s="183"/>
      <c r="G18" s="183"/>
      <c r="H18" s="183"/>
      <c r="I18" s="183"/>
      <c r="J18" s="183"/>
      <c r="K18" s="183"/>
      <c r="L18" s="183"/>
      <c r="M18" s="183"/>
      <c r="N18" s="184"/>
      <c r="R18" s="78" t="s">
        <v>43</v>
      </c>
    </row>
    <row r="19" spans="3:18" x14ac:dyDescent="0.2">
      <c r="C19" s="168" t="s">
        <v>44</v>
      </c>
      <c r="D19" s="169"/>
      <c r="E19" s="169"/>
      <c r="F19" s="169" t="s">
        <v>45</v>
      </c>
      <c r="G19" s="169"/>
      <c r="H19" s="169"/>
      <c r="I19" s="169" t="s">
        <v>46</v>
      </c>
      <c r="J19" s="169"/>
      <c r="K19" s="169"/>
      <c r="L19" s="169" t="s">
        <v>47</v>
      </c>
      <c r="M19" s="169"/>
      <c r="N19" s="170"/>
    </row>
    <row r="20" spans="3:18" x14ac:dyDescent="0.2">
      <c r="C20" s="161"/>
      <c r="D20" s="162"/>
      <c r="E20" s="163"/>
      <c r="F20" s="161"/>
      <c r="G20" s="162"/>
      <c r="H20" s="163"/>
      <c r="I20" s="161"/>
      <c r="J20" s="162"/>
      <c r="K20" s="163"/>
      <c r="L20" s="161"/>
      <c r="M20" s="162"/>
      <c r="N20" s="163"/>
    </row>
    <row r="21" spans="3:18" x14ac:dyDescent="0.2">
      <c r="C21" s="164"/>
      <c r="D21" s="165"/>
      <c r="E21" s="166"/>
      <c r="F21" s="164"/>
      <c r="G21" s="165"/>
      <c r="H21" s="166"/>
      <c r="I21" s="164"/>
      <c r="J21" s="165"/>
      <c r="K21" s="166"/>
      <c r="L21" s="164"/>
      <c r="M21" s="165"/>
      <c r="N21" s="166"/>
    </row>
    <row r="22" spans="3:18" x14ac:dyDescent="0.2">
      <c r="C22" s="164"/>
      <c r="D22" s="165"/>
      <c r="E22" s="166"/>
      <c r="F22" s="164"/>
      <c r="G22" s="165"/>
      <c r="H22" s="166"/>
      <c r="I22" s="164"/>
      <c r="J22" s="165"/>
      <c r="K22" s="166"/>
      <c r="L22" s="164"/>
      <c r="M22" s="165"/>
      <c r="N22" s="166"/>
    </row>
    <row r="23" spans="3:18" x14ac:dyDescent="0.2">
      <c r="C23" s="164"/>
      <c r="D23" s="165"/>
      <c r="E23" s="166"/>
      <c r="F23" s="164"/>
      <c r="G23" s="165"/>
      <c r="H23" s="166"/>
      <c r="I23" s="164"/>
      <c r="J23" s="165"/>
      <c r="K23" s="166"/>
      <c r="L23" s="164"/>
      <c r="M23" s="165"/>
      <c r="N23" s="166"/>
    </row>
    <row r="24" spans="3:18" x14ac:dyDescent="0.2">
      <c r="C24" s="164"/>
      <c r="D24" s="165"/>
      <c r="E24" s="166"/>
      <c r="F24" s="164"/>
      <c r="G24" s="165"/>
      <c r="H24" s="166"/>
      <c r="I24" s="164"/>
      <c r="J24" s="165"/>
      <c r="K24" s="166"/>
      <c r="L24" s="164"/>
      <c r="M24" s="165"/>
      <c r="N24" s="166"/>
    </row>
    <row r="25" spans="3:18" x14ac:dyDescent="0.2">
      <c r="C25" s="168" t="s">
        <v>48</v>
      </c>
      <c r="D25" s="169"/>
      <c r="E25" s="169"/>
      <c r="F25" s="169" t="s">
        <v>49</v>
      </c>
      <c r="G25" s="169"/>
      <c r="H25" s="169"/>
      <c r="I25" s="169" t="s">
        <v>50</v>
      </c>
      <c r="J25" s="169"/>
      <c r="K25" s="169"/>
      <c r="L25" s="169" t="s">
        <v>51</v>
      </c>
      <c r="M25" s="169"/>
      <c r="N25" s="170"/>
    </row>
    <row r="26" spans="3:18" x14ac:dyDescent="0.2">
      <c r="C26" s="167"/>
      <c r="D26" s="167"/>
      <c r="E26" s="167"/>
      <c r="F26" s="167"/>
      <c r="G26" s="167"/>
      <c r="H26" s="167"/>
      <c r="I26" s="167"/>
      <c r="J26" s="167"/>
      <c r="K26" s="167"/>
      <c r="L26" s="167"/>
      <c r="M26" s="167"/>
      <c r="N26" s="167"/>
    </row>
    <row r="27" spans="3:18" x14ac:dyDescent="0.2">
      <c r="C27" s="167"/>
      <c r="D27" s="167"/>
      <c r="E27" s="167"/>
      <c r="F27" s="167"/>
      <c r="G27" s="167"/>
      <c r="H27" s="167"/>
      <c r="I27" s="167"/>
      <c r="J27" s="167"/>
      <c r="K27" s="167"/>
      <c r="L27" s="167"/>
      <c r="M27" s="167"/>
      <c r="N27" s="167"/>
    </row>
    <row r="28" spans="3:18" x14ac:dyDescent="0.2">
      <c r="C28" s="167"/>
      <c r="D28" s="167"/>
      <c r="E28" s="167"/>
      <c r="F28" s="167"/>
      <c r="G28" s="167"/>
      <c r="H28" s="167"/>
      <c r="I28" s="167"/>
      <c r="J28" s="167"/>
      <c r="K28" s="167"/>
      <c r="L28" s="167"/>
      <c r="M28" s="167"/>
      <c r="N28" s="167"/>
    </row>
    <row r="29" spans="3:18" x14ac:dyDescent="0.2">
      <c r="C29" s="167"/>
      <c r="D29" s="167"/>
      <c r="E29" s="167"/>
      <c r="F29" s="167"/>
      <c r="G29" s="167"/>
      <c r="H29" s="167"/>
      <c r="I29" s="167"/>
      <c r="J29" s="167"/>
      <c r="K29" s="167"/>
      <c r="L29" s="167"/>
      <c r="M29" s="167"/>
      <c r="N29" s="167"/>
    </row>
    <row r="30" spans="3:18" x14ac:dyDescent="0.2">
      <c r="C30" s="167"/>
      <c r="D30" s="167"/>
      <c r="E30" s="167"/>
      <c r="F30" s="167"/>
      <c r="G30" s="167"/>
      <c r="H30" s="167"/>
      <c r="I30" s="167"/>
      <c r="J30" s="167"/>
      <c r="K30" s="167"/>
      <c r="L30" s="167"/>
      <c r="M30" s="167"/>
      <c r="N30" s="167"/>
    </row>
    <row r="31" spans="3:18" ht="15.75" thickBot="1" x14ac:dyDescent="0.25"/>
    <row r="32" spans="3:18" x14ac:dyDescent="0.2">
      <c r="E32" s="117"/>
      <c r="F32" s="118" t="s">
        <v>52</v>
      </c>
      <c r="G32" s="118" t="s">
        <v>53</v>
      </c>
      <c r="H32" s="118" t="s">
        <v>54</v>
      </c>
      <c r="I32" s="118" t="s">
        <v>55</v>
      </c>
      <c r="J32" s="118" t="s">
        <v>56</v>
      </c>
      <c r="K32" s="118" t="s">
        <v>57</v>
      </c>
      <c r="L32" s="119" t="s">
        <v>58</v>
      </c>
    </row>
    <row r="33" spans="5:12" x14ac:dyDescent="0.2">
      <c r="E33" s="120" t="s">
        <v>59</v>
      </c>
      <c r="F33" s="6"/>
      <c r="G33" s="6"/>
      <c r="H33" s="6"/>
      <c r="I33" s="6"/>
      <c r="J33" s="6"/>
      <c r="K33" s="6"/>
      <c r="L33" s="7"/>
    </row>
    <row r="34" spans="5:12" x14ac:dyDescent="0.2">
      <c r="E34" s="120" t="s">
        <v>60</v>
      </c>
      <c r="F34" s="6"/>
      <c r="G34" s="6"/>
      <c r="H34" s="6"/>
      <c r="I34" s="6"/>
      <c r="J34" s="6"/>
      <c r="K34" s="6"/>
      <c r="L34" s="7"/>
    </row>
    <row r="35" spans="5:12" x14ac:dyDescent="0.2">
      <c r="E35" s="120" t="s">
        <v>61</v>
      </c>
      <c r="F35" s="6"/>
      <c r="G35" s="6"/>
      <c r="H35" s="6"/>
      <c r="I35" s="6"/>
      <c r="J35" s="6"/>
      <c r="K35" s="6"/>
      <c r="L35" s="7"/>
    </row>
    <row r="36" spans="5:12" x14ac:dyDescent="0.2">
      <c r="E36" s="120" t="s">
        <v>62</v>
      </c>
      <c r="F36" s="6"/>
      <c r="G36" s="6"/>
      <c r="H36" s="6"/>
      <c r="I36" s="6"/>
      <c r="J36" s="6"/>
      <c r="K36" s="6"/>
      <c r="L36" s="7"/>
    </row>
    <row r="37" spans="5:12" x14ac:dyDescent="0.2">
      <c r="E37" s="120" t="s">
        <v>63</v>
      </c>
      <c r="F37" s="6"/>
      <c r="G37" s="6"/>
      <c r="H37" s="6"/>
      <c r="I37" s="6"/>
      <c r="J37" s="6"/>
      <c r="K37" s="6"/>
      <c r="L37" s="7"/>
    </row>
    <row r="38" spans="5:12" ht="15.75" thickBot="1" x14ac:dyDescent="0.25">
      <c r="E38" s="121" t="s">
        <v>64</v>
      </c>
      <c r="F38" s="8"/>
      <c r="G38" s="8"/>
      <c r="H38" s="8"/>
      <c r="I38" s="8"/>
      <c r="J38" s="8"/>
      <c r="K38" s="8"/>
      <c r="L38" s="9"/>
    </row>
    <row r="39" spans="5:12" x14ac:dyDescent="0.2">
      <c r="G39" s="197"/>
      <c r="H39" s="197"/>
      <c r="I39" s="197"/>
      <c r="J39" s="197"/>
    </row>
  </sheetData>
  <mergeCells count="39">
    <mergeCell ref="G39:J39"/>
    <mergeCell ref="K2:N2"/>
    <mergeCell ref="C8:F8"/>
    <mergeCell ref="G8:J8"/>
    <mergeCell ref="G3:J3"/>
    <mergeCell ref="G2:J2"/>
    <mergeCell ref="E7:L7"/>
    <mergeCell ref="C2:F2"/>
    <mergeCell ref="L19:N19"/>
    <mergeCell ref="I19:K19"/>
    <mergeCell ref="F19:H19"/>
    <mergeCell ref="C19:E19"/>
    <mergeCell ref="C18:N18"/>
    <mergeCell ref="C13:N13"/>
    <mergeCell ref="K9:N9"/>
    <mergeCell ref="G5:J5"/>
    <mergeCell ref="G4:J4"/>
    <mergeCell ref="K8:N8"/>
    <mergeCell ref="K3:N5"/>
    <mergeCell ref="K11:N11"/>
    <mergeCell ref="K10:N10"/>
    <mergeCell ref="G9:J9"/>
    <mergeCell ref="C9:F9"/>
    <mergeCell ref="C10:F10"/>
    <mergeCell ref="C11:F11"/>
    <mergeCell ref="G10:J10"/>
    <mergeCell ref="G11:J11"/>
    <mergeCell ref="L20:N24"/>
    <mergeCell ref="C26:E30"/>
    <mergeCell ref="F26:H30"/>
    <mergeCell ref="I26:K30"/>
    <mergeCell ref="L26:N30"/>
    <mergeCell ref="C25:E25"/>
    <mergeCell ref="F25:H25"/>
    <mergeCell ref="I25:K25"/>
    <mergeCell ref="L25:N25"/>
    <mergeCell ref="C20:E24"/>
    <mergeCell ref="F20:H24"/>
    <mergeCell ref="I20:K24"/>
  </mergeCells>
  <phoneticPr fontId="1" type="noConversion"/>
  <dataValidations count="5">
    <dataValidation type="list" allowBlank="1" showInputMessage="1" showErrorMessage="1" sqref="D4" xr:uid="{00000000-0002-0000-0000-000000000000}">
      <formula1>Age</formula1>
    </dataValidation>
    <dataValidation type="list" allowBlank="1" showInputMessage="1" showErrorMessage="1" sqref="D5" xr:uid="{00000000-0002-0000-0000-000001000000}">
      <formula1>Gender</formula1>
    </dataValidation>
    <dataValidation type="list" allowBlank="1" showInputMessage="1" showErrorMessage="1" sqref="F3" xr:uid="{00000000-0002-0000-0000-000002000000}">
      <formula1>Height</formula1>
    </dataValidation>
    <dataValidation type="list" allowBlank="1" showInputMessage="1" showErrorMessage="1" sqref="M14" xr:uid="{00000000-0002-0000-0000-000003000000}">
      <formula1>"OHP, Chins"</formula1>
    </dataValidation>
    <dataValidation type="list" allowBlank="1" showInputMessage="1" showErrorMessage="1" sqref="R2:R18 K3:N5" xr:uid="{00000000-0002-0000-0000-000004000000}">
      <formula1>$R$2:$R$19</formula1>
    </dataValidation>
  </dataValidations>
  <pageMargins left="1.2376666666666667" right="0.65138888888888891" top="0.75000000000000011" bottom="0.50911111111111107" header="0.30000000000000004" footer="0.30000000000000004"/>
  <pageSetup paperSize="9" scale="70" orientation="landscape" r:id="rId1"/>
  <headerFooter>
    <oddHeader>&amp;C&amp;G</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A25BB-B2C0-4DC8-A89C-473DE2F5B474}">
  <sheetPr codeName="Sheet2">
    <tabColor rgb="FFC00000"/>
  </sheetPr>
  <dimension ref="A1:D26"/>
  <sheetViews>
    <sheetView showGridLines="0" workbookViewId="0">
      <selection activeCell="B5" sqref="B5"/>
    </sheetView>
  </sheetViews>
  <sheetFormatPr defaultRowHeight="15" x14ac:dyDescent="0.2"/>
  <cols>
    <col min="1" max="1" width="39.27734375" bestFit="1" customWidth="1"/>
    <col min="2" max="2" width="37.80078125" bestFit="1" customWidth="1"/>
    <col min="3" max="4" width="34.4375" customWidth="1"/>
  </cols>
  <sheetData>
    <row r="1" spans="1:4" x14ac:dyDescent="0.2">
      <c r="A1" s="122" t="s">
        <v>65</v>
      </c>
      <c r="B1" s="122" t="s">
        <v>66</v>
      </c>
      <c r="C1" s="123" t="s">
        <v>67</v>
      </c>
      <c r="D1" s="122" t="s">
        <v>68</v>
      </c>
    </row>
    <row r="2" spans="1:4" x14ac:dyDescent="0.2">
      <c r="A2" s="100" t="s">
        <v>69</v>
      </c>
      <c r="B2" s="100" t="s">
        <v>70</v>
      </c>
      <c r="C2" s="100" t="s">
        <v>71</v>
      </c>
      <c r="D2" s="115" t="s">
        <v>72</v>
      </c>
    </row>
    <row r="3" spans="1:4" x14ac:dyDescent="0.2">
      <c r="A3" s="100" t="s">
        <v>73</v>
      </c>
      <c r="B3" s="100" t="s">
        <v>74</v>
      </c>
      <c r="C3" s="100" t="s">
        <v>75</v>
      </c>
      <c r="D3" s="100"/>
    </row>
    <row r="4" spans="1:4" x14ac:dyDescent="0.2">
      <c r="A4" s="100" t="s">
        <v>76</v>
      </c>
      <c r="B4" s="100" t="s">
        <v>77</v>
      </c>
      <c r="C4" s="100" t="s">
        <v>78</v>
      </c>
      <c r="D4" s="100"/>
    </row>
    <row r="5" spans="1:4" x14ac:dyDescent="0.2">
      <c r="A5" s="100" t="s">
        <v>79</v>
      </c>
      <c r="B5" s="100" t="s">
        <v>80</v>
      </c>
      <c r="C5" s="100" t="s">
        <v>81</v>
      </c>
      <c r="D5" s="100"/>
    </row>
    <row r="6" spans="1:4" x14ac:dyDescent="0.2">
      <c r="A6" s="100" t="s">
        <v>82</v>
      </c>
      <c r="B6" s="100" t="s">
        <v>83</v>
      </c>
      <c r="C6" s="100" t="s">
        <v>84</v>
      </c>
      <c r="D6" s="100"/>
    </row>
    <row r="7" spans="1:4" x14ac:dyDescent="0.2">
      <c r="A7" s="100" t="s">
        <v>85</v>
      </c>
      <c r="B7" s="100" t="s">
        <v>86</v>
      </c>
      <c r="C7" s="100" t="s">
        <v>87</v>
      </c>
      <c r="D7" s="115" t="s">
        <v>88</v>
      </c>
    </row>
    <row r="8" spans="1:4" x14ac:dyDescent="0.2">
      <c r="A8" s="100" t="s">
        <v>89</v>
      </c>
      <c r="B8" s="100" t="s">
        <v>90</v>
      </c>
      <c r="C8" s="100"/>
      <c r="D8" s="100"/>
    </row>
    <row r="9" spans="1:4" x14ac:dyDescent="0.2">
      <c r="A9" s="100"/>
      <c r="B9" s="100"/>
      <c r="C9" s="100"/>
      <c r="D9" s="100"/>
    </row>
    <row r="10" spans="1:4" x14ac:dyDescent="0.2">
      <c r="A10" s="100"/>
      <c r="B10" s="100"/>
      <c r="C10" s="112"/>
      <c r="D10" s="100"/>
    </row>
    <row r="11" spans="1:4" x14ac:dyDescent="0.2">
      <c r="A11" s="100"/>
      <c r="B11" s="100"/>
      <c r="C11" s="112"/>
      <c r="D11" s="100"/>
    </row>
    <row r="12" spans="1:4" ht="15.75" thickBot="1" x14ac:dyDescent="0.25">
      <c r="A12" s="101"/>
      <c r="B12" s="101"/>
      <c r="C12" s="113"/>
      <c r="D12" s="114" t="s">
        <v>91</v>
      </c>
    </row>
    <row r="13" spans="1:4" ht="15.75" thickBot="1" x14ac:dyDescent="0.25"/>
    <row r="14" spans="1:4" x14ac:dyDescent="0.2">
      <c r="A14" s="122" t="s">
        <v>92</v>
      </c>
      <c r="B14" s="122" t="s">
        <v>93</v>
      </c>
      <c r="C14" s="123" t="s">
        <v>94</v>
      </c>
      <c r="D14" s="122" t="s">
        <v>95</v>
      </c>
    </row>
    <row r="15" spans="1:4" x14ac:dyDescent="0.2">
      <c r="A15" s="100" t="s">
        <v>96</v>
      </c>
      <c r="B15" s="100" t="s">
        <v>97</v>
      </c>
      <c r="C15" s="100" t="s">
        <v>98</v>
      </c>
      <c r="D15" s="100"/>
    </row>
    <row r="16" spans="1:4" x14ac:dyDescent="0.2">
      <c r="A16" s="100" t="s">
        <v>99</v>
      </c>
      <c r="B16" s="100" t="s">
        <v>100</v>
      </c>
      <c r="C16" s="100" t="s">
        <v>101</v>
      </c>
      <c r="D16" s="100"/>
    </row>
    <row r="17" spans="1:4" x14ac:dyDescent="0.2">
      <c r="A17" s="100" t="s">
        <v>102</v>
      </c>
      <c r="B17" s="100" t="s">
        <v>103</v>
      </c>
      <c r="C17" s="100" t="s">
        <v>104</v>
      </c>
      <c r="D17" s="100"/>
    </row>
    <row r="18" spans="1:4" x14ac:dyDescent="0.2">
      <c r="A18" s="100" t="s">
        <v>105</v>
      </c>
      <c r="B18" s="100" t="s">
        <v>106</v>
      </c>
      <c r="C18" s="100" t="s">
        <v>107</v>
      </c>
      <c r="D18" s="100"/>
    </row>
    <row r="19" spans="1:4" x14ac:dyDescent="0.2">
      <c r="A19" s="100" t="s">
        <v>108</v>
      </c>
      <c r="B19" s="100" t="s">
        <v>109</v>
      </c>
      <c r="C19" s="100" t="s">
        <v>110</v>
      </c>
      <c r="D19" s="100"/>
    </row>
    <row r="20" spans="1:4" x14ac:dyDescent="0.2">
      <c r="A20" s="100" t="s">
        <v>111</v>
      </c>
      <c r="B20" s="100" t="s">
        <v>112</v>
      </c>
      <c r="C20" s="100" t="s">
        <v>113</v>
      </c>
      <c r="D20" s="100"/>
    </row>
    <row r="21" spans="1:4" x14ac:dyDescent="0.2">
      <c r="A21" s="100" t="s">
        <v>114</v>
      </c>
      <c r="B21" s="100" t="s">
        <v>115</v>
      </c>
      <c r="C21" s="100" t="s">
        <v>116</v>
      </c>
      <c r="D21" s="100"/>
    </row>
    <row r="22" spans="1:4" x14ac:dyDescent="0.2">
      <c r="A22" s="100"/>
      <c r="B22" s="100" t="s">
        <v>117</v>
      </c>
      <c r="C22" s="100" t="s">
        <v>118</v>
      </c>
      <c r="D22" s="100"/>
    </row>
    <row r="23" spans="1:4" x14ac:dyDescent="0.2">
      <c r="A23" s="100"/>
      <c r="B23" s="100"/>
      <c r="C23" s="112"/>
      <c r="D23" s="100"/>
    </row>
    <row r="24" spans="1:4" x14ac:dyDescent="0.2">
      <c r="A24" s="100"/>
      <c r="B24" s="100"/>
      <c r="C24" s="112"/>
      <c r="D24" s="100"/>
    </row>
    <row r="25" spans="1:4" x14ac:dyDescent="0.2">
      <c r="A25" s="100"/>
      <c r="B25" s="100"/>
      <c r="C25" s="112"/>
      <c r="D25" s="100"/>
    </row>
    <row r="26" spans="1:4" ht="15.75" thickBot="1" x14ac:dyDescent="0.25">
      <c r="A26" s="101"/>
      <c r="B26" s="101"/>
      <c r="C26" s="113"/>
      <c r="D2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macro="[0]!Session_5">
                <anchor moveWithCells="1">
                  <from>
                    <xdr:col>3</xdr:col>
                    <xdr:colOff>50800</xdr:colOff>
                    <xdr:row>4</xdr:row>
                    <xdr:rowOff>127000</xdr:rowOff>
                  </from>
                  <to>
                    <xdr:col>3</xdr:col>
                    <xdr:colOff>1193800</xdr:colOff>
                    <xdr:row>6</xdr:row>
                    <xdr:rowOff>76200</xdr:rowOff>
                  </to>
                </anchor>
              </controlPr>
            </control>
          </mc:Choice>
        </mc:AlternateContent>
        <mc:AlternateContent xmlns:mc="http://schemas.openxmlformats.org/markup-compatibility/2006">
          <mc:Choice Requires="x14">
            <control shapeId="9220" r:id="rId5" name="Option Button 4">
              <controlPr defaultSize="0" autoFill="0" autoLine="0" autoPict="0" macro="[0]!Reset_All">
                <anchor moveWithCells="1">
                  <from>
                    <xdr:col>2</xdr:col>
                    <xdr:colOff>2400300</xdr:colOff>
                    <xdr:row>10</xdr:row>
                    <xdr:rowOff>146050</xdr:rowOff>
                  </from>
                  <to>
                    <xdr:col>3</xdr:col>
                    <xdr:colOff>812800</xdr:colOff>
                    <xdr:row>12</xdr:row>
                    <xdr:rowOff>31750</xdr:rowOff>
                  </to>
                </anchor>
              </controlPr>
            </control>
          </mc:Choice>
        </mc:AlternateContent>
        <mc:AlternateContent xmlns:mc="http://schemas.openxmlformats.org/markup-compatibility/2006">
          <mc:Choice Requires="x14">
            <control shapeId="9222" r:id="rId6" name="Option Button 6">
              <controlPr defaultSize="0" autoFill="0" autoLine="0" autoPict="0" macro="[0]!Sessions_4">
                <anchor moveWithCells="1">
                  <from>
                    <xdr:col>3</xdr:col>
                    <xdr:colOff>50800</xdr:colOff>
                    <xdr:row>3</xdr:row>
                    <xdr:rowOff>127000</xdr:rowOff>
                  </from>
                  <to>
                    <xdr:col>3</xdr:col>
                    <xdr:colOff>1193800</xdr:colOff>
                    <xdr:row>5</xdr:row>
                    <xdr:rowOff>76200</xdr:rowOff>
                  </to>
                </anchor>
              </controlPr>
            </control>
          </mc:Choice>
        </mc:AlternateContent>
        <mc:AlternateContent xmlns:mc="http://schemas.openxmlformats.org/markup-compatibility/2006">
          <mc:Choice Requires="x14">
            <control shapeId="9223" r:id="rId7" name="Option Button 7">
              <controlPr defaultSize="0" autoFill="0" autoLine="0" autoPict="0" macro="[0]!Session_3">
                <anchor moveWithCells="1">
                  <from>
                    <xdr:col>3</xdr:col>
                    <xdr:colOff>38100</xdr:colOff>
                    <xdr:row>2</xdr:row>
                    <xdr:rowOff>114300</xdr:rowOff>
                  </from>
                  <to>
                    <xdr:col>3</xdr:col>
                    <xdr:colOff>1181100</xdr:colOff>
                    <xdr:row>4</xdr:row>
                    <xdr:rowOff>69850</xdr:rowOff>
                  </to>
                </anchor>
              </controlPr>
            </control>
          </mc:Choice>
        </mc:AlternateContent>
        <mc:AlternateContent xmlns:mc="http://schemas.openxmlformats.org/markup-compatibility/2006">
          <mc:Choice Requires="x14">
            <control shapeId="9224" r:id="rId8" name="Option Button 8">
              <controlPr defaultSize="0" autoFill="0" autoLine="0" autoPict="0" macro="[0]!Session_2">
                <anchor moveWithCells="1">
                  <from>
                    <xdr:col>3</xdr:col>
                    <xdr:colOff>31750</xdr:colOff>
                    <xdr:row>1</xdr:row>
                    <xdr:rowOff>107950</xdr:rowOff>
                  </from>
                  <to>
                    <xdr:col>3</xdr:col>
                    <xdr:colOff>1174750</xdr:colOff>
                    <xdr:row>3</xdr:row>
                    <xdr:rowOff>69850</xdr:rowOff>
                  </to>
                </anchor>
              </controlPr>
            </control>
          </mc:Choice>
        </mc:AlternateContent>
        <mc:AlternateContent xmlns:mc="http://schemas.openxmlformats.org/markup-compatibility/2006">
          <mc:Choice Requires="x14">
            <control shapeId="9225" r:id="rId9" name="Option Button 9">
              <controlPr defaultSize="0" autoFill="0" autoLine="0" autoPict="0" macro="[0]!Weeks_3">
                <anchor moveWithCells="1">
                  <from>
                    <xdr:col>3</xdr:col>
                    <xdr:colOff>38100</xdr:colOff>
                    <xdr:row>6</xdr:row>
                    <xdr:rowOff>133350</xdr:rowOff>
                  </from>
                  <to>
                    <xdr:col>3</xdr:col>
                    <xdr:colOff>1181100</xdr:colOff>
                    <xdr:row>8</xdr:row>
                    <xdr:rowOff>88900</xdr:rowOff>
                  </to>
                </anchor>
              </controlPr>
            </control>
          </mc:Choice>
        </mc:AlternateContent>
        <mc:AlternateContent xmlns:mc="http://schemas.openxmlformats.org/markup-compatibility/2006">
          <mc:Choice Requires="x14">
            <control shapeId="9226" r:id="rId10" name="Option Button 10">
              <controlPr defaultSize="0" autoFill="0" autoLine="0" autoPict="0" macro="[0]!Weeks_4">
                <anchor moveWithCells="1">
                  <from>
                    <xdr:col>3</xdr:col>
                    <xdr:colOff>38100</xdr:colOff>
                    <xdr:row>7</xdr:row>
                    <xdr:rowOff>152400</xdr:rowOff>
                  </from>
                  <to>
                    <xdr:col>3</xdr:col>
                    <xdr:colOff>1181100</xdr:colOff>
                    <xdr:row>9</xdr:row>
                    <xdr:rowOff>107950</xdr:rowOff>
                  </to>
                </anchor>
              </controlPr>
            </control>
          </mc:Choice>
        </mc:AlternateContent>
        <mc:AlternateContent xmlns:mc="http://schemas.openxmlformats.org/markup-compatibility/2006">
          <mc:Choice Requires="x14">
            <control shapeId="9227" r:id="rId11" name="Option Button 11">
              <controlPr defaultSize="0" autoFill="0" autoLine="0" autoPict="0" macro="[0]!Weeks_5">
                <anchor moveWithCells="1">
                  <from>
                    <xdr:col>3</xdr:col>
                    <xdr:colOff>38100</xdr:colOff>
                    <xdr:row>9</xdr:row>
                    <xdr:rowOff>12700</xdr:rowOff>
                  </from>
                  <to>
                    <xdr:col>3</xdr:col>
                    <xdr:colOff>1181100</xdr:colOff>
                    <xdr:row>10</xdr:row>
                    <xdr:rowOff>152400</xdr:rowOff>
                  </to>
                </anchor>
              </controlPr>
            </control>
          </mc:Choice>
        </mc:AlternateContent>
        <mc:AlternateContent xmlns:mc="http://schemas.openxmlformats.org/markup-compatibility/2006">
          <mc:Choice Requires="x14">
            <control shapeId="9228" r:id="rId12" name="Option Button 12">
              <controlPr defaultSize="0" autoFill="0" autoLine="0" autoPict="0" macro="[0]!Weeks_6">
                <anchor moveWithCells="1">
                  <from>
                    <xdr:col>3</xdr:col>
                    <xdr:colOff>1003300</xdr:colOff>
                    <xdr:row>6</xdr:row>
                    <xdr:rowOff>152400</xdr:rowOff>
                  </from>
                  <to>
                    <xdr:col>3</xdr:col>
                    <xdr:colOff>2146300</xdr:colOff>
                    <xdr:row>8</xdr:row>
                    <xdr:rowOff>107950</xdr:rowOff>
                  </to>
                </anchor>
              </controlPr>
            </control>
          </mc:Choice>
        </mc:AlternateContent>
        <mc:AlternateContent xmlns:mc="http://schemas.openxmlformats.org/markup-compatibility/2006">
          <mc:Choice Requires="x14">
            <control shapeId="9229" r:id="rId13" name="Option Button 13">
              <controlPr defaultSize="0" autoFill="0" autoLine="0" autoPict="0" macro="[0]!Weeks_7">
                <anchor moveWithCells="1">
                  <from>
                    <xdr:col>3</xdr:col>
                    <xdr:colOff>1003300</xdr:colOff>
                    <xdr:row>7</xdr:row>
                    <xdr:rowOff>171450</xdr:rowOff>
                  </from>
                  <to>
                    <xdr:col>3</xdr:col>
                    <xdr:colOff>2146300</xdr:colOff>
                    <xdr:row>9</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sheetPr>
  <dimension ref="A1:AC642"/>
  <sheetViews>
    <sheetView showGridLines="0" tabSelected="1" topLeftCell="D211" zoomScale="85" zoomScaleNormal="85" zoomScalePageLayoutView="135" workbookViewId="0">
      <selection activeCell="J237" sqref="J237"/>
    </sheetView>
  </sheetViews>
  <sheetFormatPr defaultColWidth="12.5078125" defaultRowHeight="9" x14ac:dyDescent="0.2"/>
  <cols>
    <col min="1" max="1" width="5.6484375" style="18" hidden="1" customWidth="1"/>
    <col min="2" max="2" width="7.12890625" style="18" customWidth="1"/>
    <col min="3" max="3" width="4.9765625" style="18" bestFit="1" customWidth="1"/>
    <col min="4" max="4" width="14.390625" style="18" customWidth="1"/>
    <col min="5" max="5" width="9.14453125" style="18" customWidth="1"/>
    <col min="6" max="6" width="6.58984375" style="18" bestFit="1" customWidth="1"/>
    <col min="7" max="7" width="5.109375" style="18" customWidth="1"/>
    <col min="8" max="8" width="9.81640625" style="18" customWidth="1"/>
    <col min="9" max="9" width="4.83984375" style="18" bestFit="1" customWidth="1"/>
    <col min="10" max="10" width="4.03515625" style="18" bestFit="1" customWidth="1"/>
    <col min="11" max="12" width="4.16796875" style="18" bestFit="1" customWidth="1"/>
    <col min="13" max="13" width="4.03515625" style="18" bestFit="1" customWidth="1"/>
    <col min="14" max="14" width="4.16796875" style="18" bestFit="1" customWidth="1"/>
    <col min="15" max="16" width="4.03515625" style="18" bestFit="1" customWidth="1"/>
    <col min="17" max="17" width="4.16796875" style="18" bestFit="1" customWidth="1"/>
    <col min="18" max="19" width="4.03515625" style="18" bestFit="1" customWidth="1"/>
    <col min="20" max="20" width="4.16796875" style="18" bestFit="1" customWidth="1"/>
    <col min="21" max="21" width="3.765625" style="18" bestFit="1" customWidth="1"/>
    <col min="22" max="22" width="9.68359375" style="18" customWidth="1"/>
    <col min="23" max="23" width="4.16796875" style="18" bestFit="1" customWidth="1"/>
    <col min="24" max="24" width="3.765625" style="18" bestFit="1" customWidth="1"/>
    <col min="25" max="25" width="3.359375" style="18" customWidth="1"/>
    <col min="26" max="26" width="4.16796875" style="18" bestFit="1" customWidth="1"/>
    <col min="27" max="27" width="11.8359375" style="18" customWidth="1"/>
    <col min="28" max="28" width="12.64453125" style="18" customWidth="1"/>
    <col min="29" max="16384" width="12.5078125" style="18"/>
  </cols>
  <sheetData>
    <row r="1" spans="1:28" x14ac:dyDescent="0.2">
      <c r="B1" s="211" t="str">
        <f>'Exercise Selection'!A1</f>
        <v>Session 1 Monday</v>
      </c>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row>
    <row r="2" spans="1:28" x14ac:dyDescent="0.2">
      <c r="B2" s="211"/>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row>
    <row r="3" spans="1:28" x14ac:dyDescent="0.2">
      <c r="B3" s="232"/>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row>
    <row r="4" spans="1:28" x14ac:dyDescent="0.2">
      <c r="B4" s="202" t="str">
        <f>'Exercise Selection'!A2</f>
        <v>(A) Box ^Squat</v>
      </c>
      <c r="C4" s="203"/>
      <c r="D4" s="203"/>
      <c r="E4" s="203"/>
      <c r="F4" s="203"/>
      <c r="G4" s="203"/>
      <c r="H4" s="203"/>
      <c r="I4" s="202" t="s">
        <v>119</v>
      </c>
      <c r="J4" s="203"/>
      <c r="K4" s="203"/>
      <c r="L4" s="202" t="s">
        <v>120</v>
      </c>
      <c r="M4" s="203"/>
      <c r="N4" s="203"/>
      <c r="O4" s="202" t="s">
        <v>121</v>
      </c>
      <c r="P4" s="203"/>
      <c r="Q4" s="203"/>
      <c r="R4" s="202" t="s">
        <v>122</v>
      </c>
      <c r="S4" s="203"/>
      <c r="T4" s="203"/>
      <c r="U4" s="202" t="s">
        <v>123</v>
      </c>
      <c r="V4" s="203"/>
      <c r="W4" s="203"/>
      <c r="X4" s="202" t="s">
        <v>124</v>
      </c>
      <c r="Y4" s="203"/>
      <c r="Z4" s="203"/>
      <c r="AA4" s="125"/>
      <c r="AB4" s="152"/>
    </row>
    <row r="5" spans="1:28" x14ac:dyDescent="0.2">
      <c r="A5" s="18" t="s">
        <v>125</v>
      </c>
      <c r="B5" s="204"/>
      <c r="C5" s="205"/>
      <c r="D5" s="205"/>
      <c r="E5" s="205"/>
      <c r="F5" s="205"/>
      <c r="G5" s="205"/>
      <c r="H5" s="205"/>
      <c r="I5" s="148"/>
      <c r="J5" s="148"/>
      <c r="K5" s="148"/>
      <c r="L5" s="148"/>
      <c r="M5" s="148"/>
      <c r="N5" s="148"/>
      <c r="O5" s="148"/>
      <c r="P5" s="148"/>
      <c r="Q5" s="148"/>
      <c r="R5" s="148"/>
      <c r="S5" s="148"/>
      <c r="T5" s="148"/>
      <c r="U5" s="148"/>
      <c r="V5" s="148"/>
      <c r="W5" s="148"/>
      <c r="X5" s="148"/>
      <c r="Y5" s="148"/>
      <c r="Z5" s="148"/>
      <c r="AA5" s="148" t="s">
        <v>126</v>
      </c>
      <c r="AB5" s="152" t="s">
        <v>127</v>
      </c>
    </row>
    <row r="6" spans="1:28" s="111" customFormat="1" x14ac:dyDescent="0.2">
      <c r="B6" s="80" t="s">
        <v>128</v>
      </c>
      <c r="C6" s="80" t="s">
        <v>129</v>
      </c>
      <c r="D6" s="80" t="s">
        <v>38</v>
      </c>
      <c r="E6" s="80" t="s">
        <v>130</v>
      </c>
      <c r="F6" s="80" t="s">
        <v>131</v>
      </c>
      <c r="G6" s="82" t="s">
        <v>132</v>
      </c>
      <c r="H6" s="82" t="s">
        <v>133</v>
      </c>
      <c r="I6" s="83" t="s">
        <v>134</v>
      </c>
      <c r="J6" s="83" t="s">
        <v>135</v>
      </c>
      <c r="K6" s="83" t="s">
        <v>133</v>
      </c>
      <c r="L6" s="83" t="s">
        <v>134</v>
      </c>
      <c r="M6" s="83" t="s">
        <v>135</v>
      </c>
      <c r="N6" s="83" t="s">
        <v>133</v>
      </c>
      <c r="O6" s="83" t="s">
        <v>134</v>
      </c>
      <c r="P6" s="83" t="s">
        <v>135</v>
      </c>
      <c r="Q6" s="83" t="s">
        <v>133</v>
      </c>
      <c r="R6" s="83" t="s">
        <v>134</v>
      </c>
      <c r="S6" s="83" t="s">
        <v>135</v>
      </c>
      <c r="T6" s="83" t="s">
        <v>133</v>
      </c>
      <c r="U6" s="83" t="s">
        <v>134</v>
      </c>
      <c r="V6" s="83" t="s">
        <v>135</v>
      </c>
      <c r="W6" s="83" t="s">
        <v>133</v>
      </c>
      <c r="X6" s="83" t="s">
        <v>134</v>
      </c>
      <c r="Y6" s="83" t="s">
        <v>135</v>
      </c>
      <c r="Z6" s="84" t="s">
        <v>133</v>
      </c>
      <c r="AA6" s="154"/>
      <c r="AB6" s="124"/>
    </row>
    <row r="7" spans="1:28" x14ac:dyDescent="0.2">
      <c r="B7" s="10" t="s">
        <v>59</v>
      </c>
      <c r="C7" s="10">
        <v>2</v>
      </c>
      <c r="D7" s="10">
        <v>4</v>
      </c>
      <c r="E7" s="10"/>
      <c r="F7" s="10" t="s">
        <v>136</v>
      </c>
      <c r="G7" s="10"/>
      <c r="H7" s="10">
        <v>3</v>
      </c>
      <c r="I7" s="33">
        <v>70</v>
      </c>
      <c r="J7" s="34">
        <v>4</v>
      </c>
      <c r="K7" s="33"/>
      <c r="L7" s="106">
        <v>70</v>
      </c>
      <c r="M7" s="15">
        <v>4</v>
      </c>
      <c r="N7" s="14"/>
      <c r="O7" s="33"/>
      <c r="P7" s="34"/>
      <c r="Q7" s="33"/>
      <c r="R7" s="14"/>
      <c r="S7" s="15"/>
      <c r="T7" s="14"/>
      <c r="U7" s="33"/>
      <c r="V7" s="34"/>
      <c r="W7" s="33"/>
      <c r="X7" s="14"/>
      <c r="Y7" s="10"/>
      <c r="Z7" s="10"/>
      <c r="AA7" s="37">
        <f>SUM(I7*J7)+(L7*M7)+(O7*P7)+(R7*S7)+(U7*V7)+(X7*Y7)</f>
        <v>560</v>
      </c>
      <c r="AB7" s="17" t="e">
        <f>AVERAGE(K7,N7,Q7,T7,W7,Z7)</f>
        <v>#DIV/0!</v>
      </c>
    </row>
    <row r="8" spans="1:28" x14ac:dyDescent="0.2">
      <c r="B8" s="10" t="s">
        <v>60</v>
      </c>
      <c r="C8" s="10">
        <v>3</v>
      </c>
      <c r="D8" s="10">
        <v>4</v>
      </c>
      <c r="E8" s="10"/>
      <c r="F8" s="10" t="s">
        <v>136</v>
      </c>
      <c r="G8" s="10"/>
      <c r="H8" s="10">
        <v>3</v>
      </c>
      <c r="I8" s="33">
        <v>80</v>
      </c>
      <c r="J8" s="34">
        <v>4</v>
      </c>
      <c r="K8" s="33"/>
      <c r="L8" s="106">
        <v>85</v>
      </c>
      <c r="M8" s="15">
        <v>4</v>
      </c>
      <c r="N8" s="14"/>
      <c r="O8" s="33">
        <v>85</v>
      </c>
      <c r="P8" s="34"/>
      <c r="Q8" s="33"/>
      <c r="R8" s="14"/>
      <c r="S8" s="15"/>
      <c r="T8" s="14"/>
      <c r="U8" s="33"/>
      <c r="V8" s="33"/>
      <c r="W8" s="33"/>
      <c r="X8" s="14"/>
      <c r="Y8" s="10"/>
      <c r="Z8" s="10"/>
      <c r="AA8" s="38">
        <f t="shared" ref="AA8:AA14" si="0">SUM(I8*J8)+(L8*M8)+(O8*P8)+(R8*S8)+(U8*V8)+(X8*Y8)</f>
        <v>660</v>
      </c>
      <c r="AB8" s="17" t="e">
        <f t="shared" ref="AB8:AB14" si="1">AVERAGE(K8,N8,Q8,T8,W8,Z8)</f>
        <v>#DIV/0!</v>
      </c>
    </row>
    <row r="9" spans="1:28" x14ac:dyDescent="0.2">
      <c r="B9" s="10" t="s">
        <v>61</v>
      </c>
      <c r="C9" s="10">
        <v>4</v>
      </c>
      <c r="D9" s="10">
        <v>4</v>
      </c>
      <c r="E9" s="10"/>
      <c r="F9" s="10" t="s">
        <v>136</v>
      </c>
      <c r="G9" s="10"/>
      <c r="H9" s="10">
        <v>3</v>
      </c>
      <c r="I9" s="33">
        <v>90</v>
      </c>
      <c r="J9" s="34">
        <v>4</v>
      </c>
      <c r="K9" s="33"/>
      <c r="L9" s="106">
        <v>90</v>
      </c>
      <c r="M9" s="15">
        <v>4</v>
      </c>
      <c r="N9" s="14"/>
      <c r="O9" s="33">
        <v>90</v>
      </c>
      <c r="P9" s="34">
        <v>4</v>
      </c>
      <c r="Q9" s="33"/>
      <c r="R9" s="14">
        <v>95</v>
      </c>
      <c r="S9" s="15">
        <v>4</v>
      </c>
      <c r="T9" s="14"/>
      <c r="U9" s="33"/>
      <c r="V9" s="33"/>
      <c r="W9" s="33"/>
      <c r="X9" s="14"/>
      <c r="Y9" s="10"/>
      <c r="Z9" s="10"/>
      <c r="AA9" s="38">
        <f t="shared" si="0"/>
        <v>1460</v>
      </c>
      <c r="AB9" s="17" t="e">
        <f t="shared" si="1"/>
        <v>#DIV/0!</v>
      </c>
    </row>
    <row r="10" spans="1:28" x14ac:dyDescent="0.2">
      <c r="B10" s="10" t="s">
        <v>62</v>
      </c>
      <c r="C10" s="11">
        <v>2</v>
      </c>
      <c r="D10" s="11">
        <v>3</v>
      </c>
      <c r="E10" s="11"/>
      <c r="F10" s="10" t="s">
        <v>136</v>
      </c>
      <c r="G10" s="10"/>
      <c r="H10" s="11">
        <v>3</v>
      </c>
      <c r="I10" s="35">
        <v>100</v>
      </c>
      <c r="J10" s="36">
        <v>3</v>
      </c>
      <c r="K10" s="35"/>
      <c r="L10" s="108">
        <v>100</v>
      </c>
      <c r="M10" s="21">
        <v>3</v>
      </c>
      <c r="N10" s="20"/>
      <c r="O10" s="35"/>
      <c r="P10" s="36"/>
      <c r="Q10" s="35"/>
      <c r="R10" s="20"/>
      <c r="S10" s="21"/>
      <c r="T10" s="20"/>
      <c r="U10" s="35"/>
      <c r="V10" s="35"/>
      <c r="W10" s="35"/>
      <c r="X10" s="20"/>
      <c r="Y10" s="11"/>
      <c r="Z10" s="11"/>
      <c r="AA10" s="38">
        <f>SUM(I10*J10)+(L10*M10)+(O10*P10)+(R10*S10)+(U10*V10)+(X10*Y10)</f>
        <v>600</v>
      </c>
      <c r="AB10" s="17" t="e">
        <f>AVERAGE(K10,N10,Q10,T10,W10,Z10)</f>
        <v>#DIV/0!</v>
      </c>
    </row>
    <row r="11" spans="1:28" x14ac:dyDescent="0.2">
      <c r="B11" s="10" t="s">
        <v>63</v>
      </c>
      <c r="C11" s="10">
        <v>3</v>
      </c>
      <c r="D11" s="10">
        <v>3</v>
      </c>
      <c r="E11" s="10"/>
      <c r="F11" s="10" t="s">
        <v>136</v>
      </c>
      <c r="G11" s="10"/>
      <c r="H11" s="10">
        <v>3</v>
      </c>
      <c r="I11" s="35">
        <v>110</v>
      </c>
      <c r="J11" s="36">
        <v>3</v>
      </c>
      <c r="K11" s="35"/>
      <c r="L11" s="108">
        <v>110</v>
      </c>
      <c r="M11" s="21">
        <v>3</v>
      </c>
      <c r="N11" s="20"/>
      <c r="O11" s="35">
        <v>110</v>
      </c>
      <c r="P11" s="36">
        <v>3</v>
      </c>
      <c r="Q11" s="35"/>
      <c r="R11" s="20"/>
      <c r="S11" s="21"/>
      <c r="T11" s="20"/>
      <c r="U11" s="35"/>
      <c r="V11" s="35"/>
      <c r="W11" s="35"/>
      <c r="X11" s="20"/>
      <c r="Y11" s="11"/>
      <c r="Z11" s="11"/>
      <c r="AA11" s="38">
        <f>SUM(I11*J11)+(L11*M11)+(O11*P11)+(R11*S11)+(U11*V11)+(X11*Y11)</f>
        <v>990</v>
      </c>
      <c r="AB11" s="17" t="e">
        <f>AVERAGE(K11,N11,Q11,T11,W11,Z11)</f>
        <v>#DIV/0!</v>
      </c>
    </row>
    <row r="12" spans="1:28" x14ac:dyDescent="0.2">
      <c r="B12" s="10" t="s">
        <v>64</v>
      </c>
      <c r="C12" s="11">
        <v>4</v>
      </c>
      <c r="D12" s="11">
        <v>3</v>
      </c>
      <c r="E12" s="11"/>
      <c r="F12" s="10" t="s">
        <v>136</v>
      </c>
      <c r="G12" s="10"/>
      <c r="H12" s="11">
        <v>3</v>
      </c>
      <c r="I12" s="35">
        <v>110</v>
      </c>
      <c r="J12" s="36">
        <v>3</v>
      </c>
      <c r="K12" s="35"/>
      <c r="L12" s="108">
        <v>110</v>
      </c>
      <c r="M12" s="21">
        <v>3</v>
      </c>
      <c r="N12" s="20"/>
      <c r="O12" s="35">
        <v>115</v>
      </c>
      <c r="P12" s="36">
        <v>3</v>
      </c>
      <c r="Q12" s="35"/>
      <c r="R12" s="20">
        <v>115</v>
      </c>
      <c r="S12" s="21">
        <v>3</v>
      </c>
      <c r="T12" s="20"/>
      <c r="U12" s="35"/>
      <c r="V12" s="35"/>
      <c r="W12" s="35"/>
      <c r="X12" s="20"/>
      <c r="Y12" s="11"/>
      <c r="Z12" s="11"/>
      <c r="AA12" s="38">
        <f>SUM(I12*J12)+(L12*M12)+(O12*P12)+(R12*S12)+(U12*V12)+(X12*Y12)</f>
        <v>1350</v>
      </c>
      <c r="AB12" s="17" t="e">
        <f>AVERAGE(K12,N12,Q12,T12,W12,Z12)</f>
        <v>#DIV/0!</v>
      </c>
    </row>
    <row r="13" spans="1:28" hidden="1" x14ac:dyDescent="0.2">
      <c r="B13" s="10" t="s">
        <v>137</v>
      </c>
      <c r="C13" s="89">
        <v>1</v>
      </c>
      <c r="D13" s="11">
        <v>6</v>
      </c>
      <c r="E13" s="103">
        <v>0.74</v>
      </c>
      <c r="F13" s="11" t="s">
        <v>138</v>
      </c>
      <c r="G13" s="11"/>
      <c r="H13" s="11">
        <v>9</v>
      </c>
      <c r="I13" s="35"/>
      <c r="J13" s="36"/>
      <c r="K13" s="35"/>
      <c r="L13" s="108"/>
      <c r="M13" s="21"/>
      <c r="N13" s="20"/>
      <c r="O13" s="35"/>
      <c r="P13" s="36"/>
      <c r="Q13" s="35"/>
      <c r="R13" s="20"/>
      <c r="S13" s="21"/>
      <c r="T13" s="20"/>
      <c r="U13" s="35"/>
      <c r="V13" s="35"/>
      <c r="W13" s="35"/>
      <c r="X13" s="20"/>
      <c r="Y13" s="11"/>
      <c r="Z13" s="11"/>
      <c r="AA13" s="38">
        <f>SUM(I13*J13)+(L13*M13)+(O13*P13)+(R13*S13)+(U13*V13)+(X13*Y13)</f>
        <v>0</v>
      </c>
      <c r="AB13" s="17" t="e">
        <f>AVERAGE(K13,N13,Q13,T13,W13,Z13)</f>
        <v>#DIV/0!</v>
      </c>
    </row>
    <row r="14" spans="1:28" hidden="1" x14ac:dyDescent="0.2">
      <c r="B14" s="10" t="s">
        <v>139</v>
      </c>
      <c r="C14" s="140">
        <v>1</v>
      </c>
      <c r="D14" s="11">
        <v>6</v>
      </c>
      <c r="E14" s="103">
        <v>0.74</v>
      </c>
      <c r="F14" s="11" t="s">
        <v>138</v>
      </c>
      <c r="G14" s="11"/>
      <c r="H14" s="11">
        <v>9</v>
      </c>
      <c r="I14" s="35"/>
      <c r="J14" s="36"/>
      <c r="K14" s="35"/>
      <c r="L14" s="108"/>
      <c r="M14" s="21"/>
      <c r="N14" s="20"/>
      <c r="O14" s="35"/>
      <c r="P14" s="36"/>
      <c r="Q14" s="35"/>
      <c r="R14" s="20"/>
      <c r="S14" s="21"/>
      <c r="T14" s="20"/>
      <c r="U14" s="35"/>
      <c r="V14" s="35"/>
      <c r="W14" s="35"/>
      <c r="X14" s="20"/>
      <c r="Y14" s="11"/>
      <c r="Z14" s="11"/>
      <c r="AA14" s="39">
        <f t="shared" si="0"/>
        <v>0</v>
      </c>
      <c r="AB14" s="17" t="e">
        <f t="shared" si="1"/>
        <v>#DIV/0!</v>
      </c>
    </row>
    <row r="15" spans="1:28" x14ac:dyDescent="0.2">
      <c r="B15" s="202" t="str">
        <f>'Exercise Selection'!A3</f>
        <v>(B1) Staggered Stance RDL</v>
      </c>
      <c r="C15" s="203"/>
      <c r="D15" s="203"/>
      <c r="E15" s="203"/>
      <c r="F15" s="203"/>
      <c r="G15" s="203"/>
      <c r="H15" s="203"/>
      <c r="I15" s="202" t="s">
        <v>119</v>
      </c>
      <c r="J15" s="203"/>
      <c r="K15" s="203"/>
      <c r="L15" s="202" t="s">
        <v>120</v>
      </c>
      <c r="M15" s="203"/>
      <c r="N15" s="203"/>
      <c r="O15" s="202" t="s">
        <v>121</v>
      </c>
      <c r="P15" s="203"/>
      <c r="Q15" s="203"/>
      <c r="R15" s="202" t="s">
        <v>122</v>
      </c>
      <c r="S15" s="203"/>
      <c r="T15" s="203"/>
      <c r="U15" s="202" t="s">
        <v>123</v>
      </c>
      <c r="V15" s="203"/>
      <c r="W15" s="203"/>
      <c r="X15" s="202" t="s">
        <v>124</v>
      </c>
      <c r="Y15" s="203"/>
      <c r="Z15" s="203"/>
      <c r="AA15" s="202" t="s">
        <v>126</v>
      </c>
      <c r="AB15" s="212" t="s">
        <v>127</v>
      </c>
    </row>
    <row r="16" spans="1:28" x14ac:dyDescent="0.2">
      <c r="B16" s="202"/>
      <c r="C16" s="203"/>
      <c r="D16" s="203"/>
      <c r="E16" s="203"/>
      <c r="F16" s="203"/>
      <c r="G16" s="203"/>
      <c r="H16" s="203"/>
      <c r="I16" s="148"/>
      <c r="J16" s="148"/>
      <c r="K16" s="148"/>
      <c r="L16" s="148"/>
      <c r="M16" s="148"/>
      <c r="N16" s="148"/>
      <c r="O16" s="148"/>
      <c r="P16" s="148"/>
      <c r="Q16" s="148"/>
      <c r="R16" s="148"/>
      <c r="S16" s="148"/>
      <c r="T16" s="148"/>
      <c r="U16" s="148"/>
      <c r="V16" s="148"/>
      <c r="W16" s="148"/>
      <c r="X16" s="148"/>
      <c r="Y16" s="148"/>
      <c r="Z16" s="148"/>
      <c r="AA16" s="203"/>
      <c r="AB16" s="213"/>
    </row>
    <row r="17" spans="2:28" s="111" customFormat="1" x14ac:dyDescent="0.2">
      <c r="B17" s="80" t="s">
        <v>128</v>
      </c>
      <c r="C17" s="80" t="s">
        <v>129</v>
      </c>
      <c r="D17" s="80" t="s">
        <v>38</v>
      </c>
      <c r="E17" s="80" t="s">
        <v>130</v>
      </c>
      <c r="F17" s="80" t="s">
        <v>131</v>
      </c>
      <c r="G17" s="81" t="s">
        <v>132</v>
      </c>
      <c r="H17" s="82" t="s">
        <v>133</v>
      </c>
      <c r="I17" s="83" t="s">
        <v>134</v>
      </c>
      <c r="J17" s="83" t="s">
        <v>135</v>
      </c>
      <c r="K17" s="83" t="s">
        <v>133</v>
      </c>
      <c r="L17" s="83" t="s">
        <v>134</v>
      </c>
      <c r="M17" s="83" t="s">
        <v>135</v>
      </c>
      <c r="N17" s="83" t="s">
        <v>133</v>
      </c>
      <c r="O17" s="83" t="s">
        <v>134</v>
      </c>
      <c r="P17" s="83" t="s">
        <v>135</v>
      </c>
      <c r="Q17" s="83" t="s">
        <v>133</v>
      </c>
      <c r="R17" s="83" t="s">
        <v>134</v>
      </c>
      <c r="S17" s="83" t="s">
        <v>135</v>
      </c>
      <c r="T17" s="83" t="s">
        <v>133</v>
      </c>
      <c r="U17" s="83" t="s">
        <v>134</v>
      </c>
      <c r="V17" s="83" t="s">
        <v>135</v>
      </c>
      <c r="W17" s="83" t="s">
        <v>133</v>
      </c>
      <c r="X17" s="83" t="s">
        <v>134</v>
      </c>
      <c r="Y17" s="83" t="s">
        <v>135</v>
      </c>
      <c r="Z17" s="84" t="s">
        <v>133</v>
      </c>
      <c r="AA17" s="203"/>
      <c r="AB17" s="213"/>
    </row>
    <row r="18" spans="2:28" x14ac:dyDescent="0.2">
      <c r="B18" s="10" t="s">
        <v>59</v>
      </c>
      <c r="C18" s="10">
        <v>2</v>
      </c>
      <c r="D18" s="10">
        <v>12</v>
      </c>
      <c r="E18" s="10"/>
      <c r="F18" s="10" t="s">
        <v>140</v>
      </c>
      <c r="G18" s="10"/>
      <c r="H18" s="10">
        <v>2</v>
      </c>
      <c r="I18" s="33">
        <v>25</v>
      </c>
      <c r="J18" s="34">
        <v>12</v>
      </c>
      <c r="K18" s="33"/>
      <c r="L18" s="106">
        <v>25</v>
      </c>
      <c r="M18" s="107">
        <v>12</v>
      </c>
      <c r="N18" s="14"/>
      <c r="O18" s="33"/>
      <c r="P18" s="34"/>
      <c r="Q18" s="33"/>
      <c r="R18" s="14"/>
      <c r="S18" s="15"/>
      <c r="T18" s="14"/>
      <c r="U18" s="33"/>
      <c r="V18" s="34"/>
      <c r="W18" s="33"/>
      <c r="X18" s="14"/>
      <c r="Y18" s="10"/>
      <c r="Z18" s="10"/>
      <c r="AA18" s="37">
        <f>SUM(I18*J18)+(L18*M18)+(O18*P18)+(R18*S18)+(U18*V18)+(X18*Y18)</f>
        <v>600</v>
      </c>
      <c r="AB18" s="17" t="e">
        <f>AVERAGE(K18,N18,Q18,T18,W18,Z18)</f>
        <v>#DIV/0!</v>
      </c>
    </row>
    <row r="19" spans="2:28" x14ac:dyDescent="0.2">
      <c r="B19" s="10" t="s">
        <v>60</v>
      </c>
      <c r="C19" s="10">
        <v>3</v>
      </c>
      <c r="D19" s="10">
        <v>12</v>
      </c>
      <c r="E19" s="10"/>
      <c r="F19" s="10" t="s">
        <v>140</v>
      </c>
      <c r="G19" s="10"/>
      <c r="H19" s="10">
        <v>1</v>
      </c>
      <c r="I19" s="33">
        <v>25</v>
      </c>
      <c r="J19" s="34">
        <v>12</v>
      </c>
      <c r="K19" s="33"/>
      <c r="L19" s="106">
        <v>25</v>
      </c>
      <c r="M19" s="107">
        <v>12</v>
      </c>
      <c r="N19" s="14"/>
      <c r="O19" s="33">
        <v>30</v>
      </c>
      <c r="P19" s="34">
        <v>12</v>
      </c>
      <c r="Q19" s="33"/>
      <c r="R19" s="14"/>
      <c r="S19" s="15"/>
      <c r="T19" s="14"/>
      <c r="U19" s="33"/>
      <c r="V19" s="33"/>
      <c r="W19" s="33"/>
      <c r="X19" s="14"/>
      <c r="Y19" s="10"/>
      <c r="Z19" s="10"/>
      <c r="AA19" s="38">
        <f t="shared" ref="AA19:AA25" si="2">SUM(I19*J19)+(L19*M19)+(O19*P19)+(R19*S19)+(U19*V19)+(X19*Y19)</f>
        <v>960</v>
      </c>
      <c r="AB19" s="17" t="e">
        <f t="shared" ref="AB19:AB25" si="3">AVERAGE(K19,N19,Q19,T19,W19,Z19)</f>
        <v>#DIV/0!</v>
      </c>
    </row>
    <row r="20" spans="2:28" x14ac:dyDescent="0.2">
      <c r="B20" s="10" t="s">
        <v>61</v>
      </c>
      <c r="C20" s="10">
        <v>4</v>
      </c>
      <c r="D20" s="10">
        <v>10</v>
      </c>
      <c r="E20" s="10"/>
      <c r="F20" s="10" t="s">
        <v>140</v>
      </c>
      <c r="G20" s="10"/>
      <c r="H20" s="10">
        <v>2</v>
      </c>
      <c r="I20" s="33">
        <v>30</v>
      </c>
      <c r="J20" s="34">
        <v>10</v>
      </c>
      <c r="K20" s="33"/>
      <c r="L20" s="106">
        <v>30</v>
      </c>
      <c r="M20" s="107">
        <v>10</v>
      </c>
      <c r="N20" s="14"/>
      <c r="O20" s="33">
        <v>30</v>
      </c>
      <c r="P20" s="34">
        <v>10</v>
      </c>
      <c r="Q20" s="33"/>
      <c r="R20" s="14">
        <v>30</v>
      </c>
      <c r="S20" s="15">
        <v>10</v>
      </c>
      <c r="T20" s="14"/>
      <c r="U20" s="33"/>
      <c r="V20" s="33"/>
      <c r="W20" s="33"/>
      <c r="X20" s="14"/>
      <c r="Y20" s="10"/>
      <c r="Z20" s="10"/>
      <c r="AA20" s="38">
        <f t="shared" si="2"/>
        <v>1200</v>
      </c>
      <c r="AB20" s="17" t="e">
        <f t="shared" si="3"/>
        <v>#DIV/0!</v>
      </c>
    </row>
    <row r="21" spans="2:28" x14ac:dyDescent="0.2">
      <c r="B21" s="10" t="s">
        <v>62</v>
      </c>
      <c r="C21" s="11">
        <v>2</v>
      </c>
      <c r="D21" s="11">
        <v>10</v>
      </c>
      <c r="E21" s="11"/>
      <c r="F21" s="10" t="s">
        <v>140</v>
      </c>
      <c r="G21" s="10"/>
      <c r="H21" s="11">
        <v>1</v>
      </c>
      <c r="I21" s="35">
        <v>30</v>
      </c>
      <c r="J21" s="36">
        <v>10</v>
      </c>
      <c r="K21" s="35"/>
      <c r="L21" s="108">
        <v>45</v>
      </c>
      <c r="M21" s="109">
        <v>10</v>
      </c>
      <c r="N21" s="20"/>
      <c r="O21" s="35"/>
      <c r="P21" s="36"/>
      <c r="Q21" s="35"/>
      <c r="R21" s="20"/>
      <c r="S21" s="21"/>
      <c r="T21" s="20"/>
      <c r="U21" s="35"/>
      <c r="V21" s="35"/>
      <c r="W21" s="35"/>
      <c r="X21" s="20"/>
      <c r="Y21" s="11"/>
      <c r="Z21" s="11"/>
      <c r="AA21" s="38">
        <f>SUM(I21*J21)+(L21*M21)+(O21*P21)+(R21*S21)+(U21*V21)+(X21*Y21)</f>
        <v>750</v>
      </c>
      <c r="AB21" s="17" t="e">
        <f>AVERAGE(K21,N21,Q21,T21,W21,Z21)</f>
        <v>#DIV/0!</v>
      </c>
    </row>
    <row r="22" spans="2:28" x14ac:dyDescent="0.2">
      <c r="B22" s="10" t="s">
        <v>63</v>
      </c>
      <c r="C22" s="10">
        <v>3</v>
      </c>
      <c r="D22" s="10">
        <v>8</v>
      </c>
      <c r="E22" s="10"/>
      <c r="F22" s="10" t="s">
        <v>140</v>
      </c>
      <c r="G22" s="10"/>
      <c r="H22" s="10">
        <v>2</v>
      </c>
      <c r="I22" s="35">
        <v>45</v>
      </c>
      <c r="J22" s="36">
        <v>8</v>
      </c>
      <c r="K22" s="35"/>
      <c r="L22" s="108">
        <v>45</v>
      </c>
      <c r="M22" s="109">
        <v>8</v>
      </c>
      <c r="N22" s="20"/>
      <c r="O22" s="35">
        <v>45</v>
      </c>
      <c r="P22" s="36">
        <v>8</v>
      </c>
      <c r="Q22" s="35"/>
      <c r="R22" s="20"/>
      <c r="S22" s="21"/>
      <c r="T22" s="20"/>
      <c r="U22" s="35"/>
      <c r="V22" s="35"/>
      <c r="W22" s="35"/>
      <c r="X22" s="20"/>
      <c r="Y22" s="11"/>
      <c r="Z22" s="11"/>
      <c r="AA22" s="38">
        <f>SUM(I22*J22)+(L22*M22)+(O22*P22)+(R22*S22)+(U22*V22)+(X22*Y22)</f>
        <v>1080</v>
      </c>
      <c r="AB22" s="17" t="e">
        <f>AVERAGE(K22,N22,Q22,T22,W22,Z22)</f>
        <v>#DIV/0!</v>
      </c>
    </row>
    <row r="23" spans="2:28" x14ac:dyDescent="0.2">
      <c r="B23" s="10" t="s">
        <v>64</v>
      </c>
      <c r="C23" s="11">
        <v>4</v>
      </c>
      <c r="D23" s="11">
        <v>8</v>
      </c>
      <c r="E23" s="11"/>
      <c r="F23" s="10" t="s">
        <v>140</v>
      </c>
      <c r="G23" s="10"/>
      <c r="H23" s="11">
        <v>1</v>
      </c>
      <c r="I23" s="35">
        <v>50</v>
      </c>
      <c r="J23" s="36">
        <v>8</v>
      </c>
      <c r="K23" s="35"/>
      <c r="L23" s="108">
        <v>50</v>
      </c>
      <c r="M23" s="109">
        <v>8</v>
      </c>
      <c r="N23" s="20"/>
      <c r="O23" s="35">
        <v>50</v>
      </c>
      <c r="P23" s="36">
        <v>8</v>
      </c>
      <c r="Q23" s="35"/>
      <c r="R23" s="20">
        <v>50</v>
      </c>
      <c r="S23" s="21">
        <v>8</v>
      </c>
      <c r="T23" s="20"/>
      <c r="U23" s="35"/>
      <c r="V23" s="35"/>
      <c r="W23" s="35"/>
      <c r="X23" s="20"/>
      <c r="Y23" s="11"/>
      <c r="Z23" s="11"/>
      <c r="AA23" s="38">
        <f>SUM(I23*J23)+(L23*M23)+(O23*P23)+(R23*S23)+(U23*V23)+(X23*Y23)</f>
        <v>1600</v>
      </c>
      <c r="AB23" s="17" t="e">
        <f>AVERAGE(K23,N23,Q23,T23,W23,Z23)</f>
        <v>#DIV/0!</v>
      </c>
    </row>
    <row r="24" spans="2:28" hidden="1" x14ac:dyDescent="0.2">
      <c r="B24" s="10" t="s">
        <v>137</v>
      </c>
      <c r="C24" s="141" t="s">
        <v>141</v>
      </c>
      <c r="D24" s="143">
        <v>6</v>
      </c>
      <c r="E24" s="102">
        <v>0.05</v>
      </c>
      <c r="F24" s="88" t="s">
        <v>138</v>
      </c>
      <c r="G24" s="88"/>
      <c r="H24" s="88">
        <v>9</v>
      </c>
      <c r="I24" s="35"/>
      <c r="J24" s="36"/>
      <c r="K24" s="35"/>
      <c r="L24" s="108"/>
      <c r="M24" s="109"/>
      <c r="N24" s="20"/>
      <c r="O24" s="35"/>
      <c r="P24" s="36"/>
      <c r="Q24" s="35"/>
      <c r="R24" s="20"/>
      <c r="S24" s="21"/>
      <c r="T24" s="20"/>
      <c r="U24" s="35"/>
      <c r="V24" s="35"/>
      <c r="W24" s="35"/>
      <c r="X24" s="20"/>
      <c r="Y24" s="11"/>
      <c r="Z24" s="11"/>
      <c r="AA24" s="38">
        <f>SUM(I24*J24)+(L24*M24)+(O24*P24)+(R24*S24)+(U24*V24)+(X24*Y24)</f>
        <v>0</v>
      </c>
      <c r="AB24" s="17" t="e">
        <f>AVERAGE(K24,N24,Q24,T24,W24,Z24)</f>
        <v>#DIV/0!</v>
      </c>
    </row>
    <row r="25" spans="2:28" hidden="1" x14ac:dyDescent="0.2">
      <c r="B25" s="10" t="s">
        <v>139</v>
      </c>
      <c r="C25" s="142" t="s">
        <v>141</v>
      </c>
      <c r="D25" s="143">
        <v>6</v>
      </c>
      <c r="E25" s="102">
        <v>7.0000000000000007E-2</v>
      </c>
      <c r="F25" s="88" t="s">
        <v>138</v>
      </c>
      <c r="G25" s="88"/>
      <c r="H25" s="88">
        <v>9</v>
      </c>
      <c r="I25" s="35"/>
      <c r="J25" s="36"/>
      <c r="K25" s="35"/>
      <c r="L25" s="108"/>
      <c r="M25" s="109"/>
      <c r="N25" s="20"/>
      <c r="O25" s="35"/>
      <c r="P25" s="36"/>
      <c r="Q25" s="35"/>
      <c r="R25" s="20"/>
      <c r="S25" s="21"/>
      <c r="T25" s="20"/>
      <c r="U25" s="35"/>
      <c r="V25" s="35"/>
      <c r="W25" s="35"/>
      <c r="X25" s="20"/>
      <c r="Y25" s="11"/>
      <c r="Z25" s="11"/>
      <c r="AA25" s="39">
        <f t="shared" si="2"/>
        <v>0</v>
      </c>
      <c r="AB25" s="17" t="e">
        <f t="shared" si="3"/>
        <v>#DIV/0!</v>
      </c>
    </row>
    <row r="26" spans="2:28" x14ac:dyDescent="0.2">
      <c r="B26" s="202" t="str">
        <f>'Exercise Selection'!A4</f>
        <v>(B2) RNT Split Squat</v>
      </c>
      <c r="C26" s="203"/>
      <c r="D26" s="203"/>
      <c r="E26" s="203"/>
      <c r="F26" s="203"/>
      <c r="G26" s="203"/>
      <c r="H26" s="203"/>
      <c r="I26" s="202" t="s">
        <v>119</v>
      </c>
      <c r="J26" s="203"/>
      <c r="K26" s="203"/>
      <c r="L26" s="202" t="s">
        <v>120</v>
      </c>
      <c r="M26" s="203"/>
      <c r="N26" s="203"/>
      <c r="O26" s="202" t="s">
        <v>121</v>
      </c>
      <c r="P26" s="203"/>
      <c r="Q26" s="203"/>
      <c r="R26" s="202" t="s">
        <v>122</v>
      </c>
      <c r="S26" s="203"/>
      <c r="T26" s="203"/>
      <c r="U26" s="202" t="s">
        <v>123</v>
      </c>
      <c r="V26" s="203"/>
      <c r="W26" s="203"/>
      <c r="X26" s="202" t="s">
        <v>124</v>
      </c>
      <c r="Y26" s="203"/>
      <c r="Z26" s="203"/>
      <c r="AA26" s="202" t="s">
        <v>126</v>
      </c>
      <c r="AB26" s="212" t="s">
        <v>127</v>
      </c>
    </row>
    <row r="27" spans="2:28" x14ac:dyDescent="0.2">
      <c r="B27" s="202"/>
      <c r="C27" s="203"/>
      <c r="D27" s="203"/>
      <c r="E27" s="203"/>
      <c r="F27" s="203"/>
      <c r="G27" s="203"/>
      <c r="H27" s="203"/>
      <c r="I27" s="148"/>
      <c r="J27" s="148"/>
      <c r="K27" s="148"/>
      <c r="L27" s="148"/>
      <c r="M27" s="148"/>
      <c r="N27" s="148"/>
      <c r="O27" s="148"/>
      <c r="P27" s="148"/>
      <c r="Q27" s="148"/>
      <c r="R27" s="148"/>
      <c r="S27" s="148"/>
      <c r="T27" s="148"/>
      <c r="U27" s="148"/>
      <c r="V27" s="148"/>
      <c r="W27" s="148"/>
      <c r="X27" s="148"/>
      <c r="Y27" s="148"/>
      <c r="Z27" s="148"/>
      <c r="AA27" s="203"/>
      <c r="AB27" s="213"/>
    </row>
    <row r="28" spans="2:28" s="111" customFormat="1" x14ac:dyDescent="0.2">
      <c r="B28" s="80" t="s">
        <v>128</v>
      </c>
      <c r="C28" s="80" t="s">
        <v>129</v>
      </c>
      <c r="D28" s="80" t="s">
        <v>38</v>
      </c>
      <c r="E28" s="80" t="s">
        <v>130</v>
      </c>
      <c r="F28" s="80" t="s">
        <v>131</v>
      </c>
      <c r="G28" s="81" t="s">
        <v>132</v>
      </c>
      <c r="H28" s="82" t="s">
        <v>133</v>
      </c>
      <c r="I28" s="83" t="s">
        <v>134</v>
      </c>
      <c r="J28" s="83" t="s">
        <v>135</v>
      </c>
      <c r="K28" s="83" t="s">
        <v>133</v>
      </c>
      <c r="L28" s="83" t="s">
        <v>134</v>
      </c>
      <c r="M28" s="83" t="s">
        <v>135</v>
      </c>
      <c r="N28" s="83" t="s">
        <v>133</v>
      </c>
      <c r="O28" s="83" t="s">
        <v>134</v>
      </c>
      <c r="P28" s="83" t="s">
        <v>135</v>
      </c>
      <c r="Q28" s="83" t="s">
        <v>133</v>
      </c>
      <c r="R28" s="83" t="s">
        <v>134</v>
      </c>
      <c r="S28" s="83" t="s">
        <v>135</v>
      </c>
      <c r="T28" s="83" t="s">
        <v>133</v>
      </c>
      <c r="U28" s="83" t="s">
        <v>134</v>
      </c>
      <c r="V28" s="83" t="s">
        <v>135</v>
      </c>
      <c r="W28" s="83" t="s">
        <v>133</v>
      </c>
      <c r="X28" s="83" t="s">
        <v>134</v>
      </c>
      <c r="Y28" s="83" t="s">
        <v>135</v>
      </c>
      <c r="Z28" s="84" t="s">
        <v>133</v>
      </c>
      <c r="AA28" s="203"/>
      <c r="AB28" s="213"/>
    </row>
    <row r="29" spans="2:28" x14ac:dyDescent="0.2">
      <c r="B29" s="10" t="s">
        <v>59</v>
      </c>
      <c r="C29" s="10">
        <v>2</v>
      </c>
      <c r="D29" s="10">
        <v>12</v>
      </c>
      <c r="E29" s="10"/>
      <c r="F29" s="10" t="s">
        <v>140</v>
      </c>
      <c r="G29" s="10"/>
      <c r="H29" s="10">
        <v>2</v>
      </c>
      <c r="I29" s="12">
        <v>16</v>
      </c>
      <c r="J29" s="13">
        <v>12</v>
      </c>
      <c r="K29" s="12"/>
      <c r="L29" s="106">
        <v>16</v>
      </c>
      <c r="M29" s="107">
        <v>12</v>
      </c>
      <c r="N29" s="106"/>
      <c r="O29" s="12"/>
      <c r="P29" s="13"/>
      <c r="Q29" s="12"/>
      <c r="R29" s="106"/>
      <c r="S29" s="107"/>
      <c r="T29" s="106"/>
      <c r="U29" s="33"/>
      <c r="V29" s="34"/>
      <c r="W29" s="33"/>
      <c r="X29" s="14"/>
      <c r="Y29" s="10"/>
      <c r="Z29" s="10"/>
      <c r="AA29" s="37">
        <f>SUM(I29*J29)+(L29*M29)+(O29*P29)+(R29*S29)+(U29*V29)+(X29*Y29)</f>
        <v>384</v>
      </c>
      <c r="AB29" s="17" t="e">
        <f t="shared" ref="AB29:AB36" si="4">AVERAGE(K29,N29,Q29,T29,W29,Z29)</f>
        <v>#DIV/0!</v>
      </c>
    </row>
    <row r="30" spans="2:28" x14ac:dyDescent="0.2">
      <c r="B30" s="10" t="s">
        <v>60</v>
      </c>
      <c r="C30" s="10">
        <v>3</v>
      </c>
      <c r="D30" s="10">
        <v>12</v>
      </c>
      <c r="E30" s="10"/>
      <c r="F30" s="10" t="s">
        <v>140</v>
      </c>
      <c r="G30" s="10"/>
      <c r="H30" s="10">
        <v>1</v>
      </c>
      <c r="I30" s="12">
        <v>16</v>
      </c>
      <c r="J30" s="13">
        <v>12</v>
      </c>
      <c r="K30" s="12"/>
      <c r="L30" s="106">
        <v>16</v>
      </c>
      <c r="M30" s="107">
        <v>12</v>
      </c>
      <c r="N30" s="106"/>
      <c r="O30" s="12">
        <v>20</v>
      </c>
      <c r="P30" s="13">
        <v>12</v>
      </c>
      <c r="Q30" s="12"/>
      <c r="R30" s="106"/>
      <c r="S30" s="107"/>
      <c r="T30" s="106"/>
      <c r="U30" s="33"/>
      <c r="V30" s="33"/>
      <c r="W30" s="33"/>
      <c r="X30" s="14"/>
      <c r="Y30" s="10"/>
      <c r="Z30" s="10"/>
      <c r="AA30" s="38">
        <f t="shared" ref="AA30:AA36" si="5">SUM(I30*J30)+(L30*M30)+(O30*P30)+(R30*S30)+(U30*V30)+(X30*Y30)</f>
        <v>624</v>
      </c>
      <c r="AB30" s="17" t="e">
        <f t="shared" si="4"/>
        <v>#DIV/0!</v>
      </c>
    </row>
    <row r="31" spans="2:28" x14ac:dyDescent="0.2">
      <c r="B31" s="10" t="s">
        <v>61</v>
      </c>
      <c r="C31" s="10">
        <v>4</v>
      </c>
      <c r="D31" s="10">
        <v>10</v>
      </c>
      <c r="E31" s="10"/>
      <c r="F31" s="10" t="s">
        <v>140</v>
      </c>
      <c r="G31" s="10"/>
      <c r="H31" s="10">
        <v>2</v>
      </c>
      <c r="I31" s="12">
        <v>20</v>
      </c>
      <c r="J31" s="13">
        <v>10</v>
      </c>
      <c r="K31" s="12"/>
      <c r="L31" s="106">
        <v>20</v>
      </c>
      <c r="M31" s="107">
        <v>10</v>
      </c>
      <c r="N31" s="106"/>
      <c r="O31" s="12">
        <v>20</v>
      </c>
      <c r="P31" s="13">
        <v>10</v>
      </c>
      <c r="Q31" s="12"/>
      <c r="R31" s="106">
        <v>20</v>
      </c>
      <c r="S31" s="107">
        <v>10</v>
      </c>
      <c r="T31" s="106"/>
      <c r="U31" s="33"/>
      <c r="V31" s="33"/>
      <c r="W31" s="33"/>
      <c r="X31" s="14"/>
      <c r="Y31" s="10"/>
      <c r="Z31" s="10"/>
      <c r="AA31" s="38">
        <f t="shared" si="5"/>
        <v>800</v>
      </c>
      <c r="AB31" s="17" t="e">
        <f t="shared" si="4"/>
        <v>#DIV/0!</v>
      </c>
    </row>
    <row r="32" spans="2:28" x14ac:dyDescent="0.2">
      <c r="B32" s="10" t="s">
        <v>62</v>
      </c>
      <c r="C32" s="11">
        <v>2</v>
      </c>
      <c r="D32" s="11">
        <v>10</v>
      </c>
      <c r="E32" s="11"/>
      <c r="F32" s="10" t="s">
        <v>140</v>
      </c>
      <c r="G32" s="10"/>
      <c r="H32" s="11">
        <v>1</v>
      </c>
      <c r="I32" s="12">
        <v>20</v>
      </c>
      <c r="J32" s="13">
        <v>10</v>
      </c>
      <c r="K32" s="12"/>
      <c r="L32" s="106">
        <v>20</v>
      </c>
      <c r="M32" s="107">
        <v>10</v>
      </c>
      <c r="N32" s="106"/>
      <c r="O32" s="12"/>
      <c r="P32" s="13"/>
      <c r="Q32" s="12"/>
      <c r="R32" s="106"/>
      <c r="S32" s="107"/>
      <c r="T32" s="106"/>
      <c r="U32" s="35"/>
      <c r="V32" s="35"/>
      <c r="W32" s="35"/>
      <c r="X32" s="20"/>
      <c r="Y32" s="11"/>
      <c r="Z32" s="11"/>
      <c r="AA32" s="38">
        <f>SUM(I32*J32)+(L32*M32)+(O32*P32)+(R32*S32)+(U32*V32)+(X32*Y32)</f>
        <v>400</v>
      </c>
      <c r="AB32" s="17" t="e">
        <f t="shared" si="4"/>
        <v>#DIV/0!</v>
      </c>
    </row>
    <row r="33" spans="2:28" x14ac:dyDescent="0.2">
      <c r="B33" s="10" t="s">
        <v>63</v>
      </c>
      <c r="C33" s="10">
        <v>3</v>
      </c>
      <c r="D33" s="10">
        <v>8</v>
      </c>
      <c r="E33" s="10"/>
      <c r="F33" s="10" t="s">
        <v>140</v>
      </c>
      <c r="G33" s="10"/>
      <c r="H33" s="10">
        <v>2</v>
      </c>
      <c r="I33" s="12">
        <v>20</v>
      </c>
      <c r="J33" s="13">
        <v>8</v>
      </c>
      <c r="K33" s="12"/>
      <c r="L33" s="106">
        <v>20</v>
      </c>
      <c r="M33" s="107">
        <v>8</v>
      </c>
      <c r="N33" s="106"/>
      <c r="O33" s="12">
        <v>20</v>
      </c>
      <c r="P33" s="13">
        <v>8</v>
      </c>
      <c r="Q33" s="12"/>
      <c r="R33" s="106"/>
      <c r="S33" s="107"/>
      <c r="T33" s="106"/>
      <c r="U33" s="35"/>
      <c r="V33" s="35"/>
      <c r="W33" s="35"/>
      <c r="X33" s="20"/>
      <c r="Y33" s="11"/>
      <c r="Z33" s="11"/>
      <c r="AA33" s="38">
        <f>SUM(I33*J33)+(L33*M33)+(O33*P33)+(R33*S33)+(U33*V33)+(X33*Y33)</f>
        <v>480</v>
      </c>
      <c r="AB33" s="17" t="e">
        <f t="shared" si="4"/>
        <v>#DIV/0!</v>
      </c>
    </row>
    <row r="34" spans="2:28" x14ac:dyDescent="0.2">
      <c r="B34" s="10" t="s">
        <v>64</v>
      </c>
      <c r="C34" s="11">
        <v>4</v>
      </c>
      <c r="D34" s="11">
        <v>8</v>
      </c>
      <c r="E34" s="11"/>
      <c r="F34" s="10" t="s">
        <v>140</v>
      </c>
      <c r="G34" s="10"/>
      <c r="H34" s="11">
        <v>1</v>
      </c>
      <c r="I34" s="12">
        <v>20</v>
      </c>
      <c r="J34" s="13">
        <v>8</v>
      </c>
      <c r="K34" s="12"/>
      <c r="L34" s="106">
        <v>20</v>
      </c>
      <c r="M34" s="107">
        <v>8</v>
      </c>
      <c r="N34" s="106"/>
      <c r="O34" s="12">
        <v>20</v>
      </c>
      <c r="P34" s="13">
        <v>8</v>
      </c>
      <c r="Q34" s="12"/>
      <c r="R34" s="106">
        <v>20</v>
      </c>
      <c r="S34" s="107">
        <v>8</v>
      </c>
      <c r="T34" s="106"/>
      <c r="U34" s="35"/>
      <c r="V34" s="35"/>
      <c r="W34" s="35"/>
      <c r="X34" s="20"/>
      <c r="Y34" s="11"/>
      <c r="Z34" s="11"/>
      <c r="AA34" s="38">
        <f>SUM(I34*J34)+(L34*M34)+(O34*P34)+(R34*S34)+(U34*V34)+(X34*Y34)</f>
        <v>640</v>
      </c>
      <c r="AB34" s="17" t="e">
        <f t="shared" si="4"/>
        <v>#DIV/0!</v>
      </c>
    </row>
    <row r="35" spans="2:28" hidden="1" x14ac:dyDescent="0.2">
      <c r="B35" s="10" t="s">
        <v>137</v>
      </c>
      <c r="C35" s="90">
        <v>1</v>
      </c>
      <c r="D35" s="88">
        <v>6</v>
      </c>
      <c r="E35" s="102">
        <v>0.74</v>
      </c>
      <c r="F35" s="88" t="s">
        <v>138</v>
      </c>
      <c r="G35" s="88"/>
      <c r="H35" s="88">
        <v>9</v>
      </c>
      <c r="I35" s="12"/>
      <c r="J35" s="13"/>
      <c r="K35" s="12"/>
      <c r="L35" s="106"/>
      <c r="M35" s="107"/>
      <c r="N35" s="106"/>
      <c r="O35" s="12"/>
      <c r="P35" s="13"/>
      <c r="Q35" s="12"/>
      <c r="R35" s="106"/>
      <c r="S35" s="107"/>
      <c r="T35" s="106"/>
      <c r="U35" s="35"/>
      <c r="V35" s="35"/>
      <c r="W35" s="35"/>
      <c r="X35" s="20"/>
      <c r="Y35" s="11"/>
      <c r="Z35" s="11"/>
      <c r="AA35" s="38">
        <f>SUM(I35*J35)+(L35*M35)+(O35*P35)+(R35*S35)+(U35*V35)+(X35*Y35)</f>
        <v>0</v>
      </c>
      <c r="AB35" s="17" t="e">
        <f t="shared" si="4"/>
        <v>#DIV/0!</v>
      </c>
    </row>
    <row r="36" spans="2:28" hidden="1" x14ac:dyDescent="0.2">
      <c r="B36" s="10" t="s">
        <v>139</v>
      </c>
      <c r="C36" s="144">
        <v>1</v>
      </c>
      <c r="D36" s="88">
        <v>6</v>
      </c>
      <c r="E36" s="102">
        <v>0.74</v>
      </c>
      <c r="F36" s="88" t="s">
        <v>138</v>
      </c>
      <c r="G36" s="88"/>
      <c r="H36" s="88">
        <v>9</v>
      </c>
      <c r="I36" s="12"/>
      <c r="J36" s="13"/>
      <c r="K36" s="12"/>
      <c r="L36" s="106"/>
      <c r="M36" s="107"/>
      <c r="N36" s="106"/>
      <c r="O36" s="12"/>
      <c r="P36" s="13"/>
      <c r="Q36" s="12"/>
      <c r="R36" s="106"/>
      <c r="S36" s="107"/>
      <c r="T36" s="106"/>
      <c r="U36" s="35"/>
      <c r="V36" s="35"/>
      <c r="W36" s="35"/>
      <c r="X36" s="20"/>
      <c r="Y36" s="11"/>
      <c r="Z36" s="11"/>
      <c r="AA36" s="39">
        <f t="shared" si="5"/>
        <v>0</v>
      </c>
      <c r="AB36" s="17" t="e">
        <f t="shared" si="4"/>
        <v>#DIV/0!</v>
      </c>
    </row>
    <row r="37" spans="2:28" x14ac:dyDescent="0.2">
      <c r="B37" s="202" t="str">
        <f>'Exercise Selection'!A5</f>
        <v>(C1) Leg Extensions</v>
      </c>
      <c r="C37" s="203"/>
      <c r="D37" s="203"/>
      <c r="E37" s="203"/>
      <c r="F37" s="203"/>
      <c r="G37" s="203"/>
      <c r="H37" s="203"/>
      <c r="I37" s="202" t="s">
        <v>119</v>
      </c>
      <c r="J37" s="203"/>
      <c r="K37" s="203"/>
      <c r="L37" s="202" t="s">
        <v>120</v>
      </c>
      <c r="M37" s="203"/>
      <c r="N37" s="203"/>
      <c r="O37" s="202" t="s">
        <v>121</v>
      </c>
      <c r="P37" s="203"/>
      <c r="Q37" s="203"/>
      <c r="R37" s="202" t="s">
        <v>122</v>
      </c>
      <c r="S37" s="203"/>
      <c r="T37" s="203"/>
      <c r="U37" s="202" t="s">
        <v>123</v>
      </c>
      <c r="V37" s="203"/>
      <c r="W37" s="203"/>
      <c r="X37" s="202" t="s">
        <v>124</v>
      </c>
      <c r="Y37" s="203"/>
      <c r="Z37" s="203"/>
      <c r="AA37" s="202" t="s">
        <v>126</v>
      </c>
      <c r="AB37" s="212" t="s">
        <v>127</v>
      </c>
    </row>
    <row r="38" spans="2:28" x14ac:dyDescent="0.2">
      <c r="B38" s="202"/>
      <c r="C38" s="203"/>
      <c r="D38" s="203"/>
      <c r="E38" s="203"/>
      <c r="F38" s="203"/>
      <c r="G38" s="203"/>
      <c r="H38" s="203"/>
      <c r="I38" s="148"/>
      <c r="J38" s="148"/>
      <c r="K38" s="148"/>
      <c r="L38" s="148"/>
      <c r="M38" s="148"/>
      <c r="N38" s="148"/>
      <c r="O38" s="148"/>
      <c r="P38" s="148"/>
      <c r="Q38" s="148"/>
      <c r="R38" s="148"/>
      <c r="S38" s="148"/>
      <c r="T38" s="148"/>
      <c r="U38" s="148"/>
      <c r="V38" s="148"/>
      <c r="W38" s="148"/>
      <c r="X38" s="148"/>
      <c r="Y38" s="148"/>
      <c r="Z38" s="148"/>
      <c r="AA38" s="203"/>
      <c r="AB38" s="213"/>
    </row>
    <row r="39" spans="2:28" s="111" customFormat="1" x14ac:dyDescent="0.2">
      <c r="B39" s="80" t="s">
        <v>128</v>
      </c>
      <c r="C39" s="80" t="s">
        <v>129</v>
      </c>
      <c r="D39" s="80" t="s">
        <v>38</v>
      </c>
      <c r="E39" s="80" t="s">
        <v>130</v>
      </c>
      <c r="F39" s="80" t="s">
        <v>131</v>
      </c>
      <c r="G39" s="81" t="s">
        <v>132</v>
      </c>
      <c r="H39" s="82" t="s">
        <v>133</v>
      </c>
      <c r="I39" s="83" t="s">
        <v>134</v>
      </c>
      <c r="J39" s="83" t="s">
        <v>135</v>
      </c>
      <c r="K39" s="83" t="s">
        <v>133</v>
      </c>
      <c r="L39" s="83" t="s">
        <v>134</v>
      </c>
      <c r="M39" s="83" t="s">
        <v>135</v>
      </c>
      <c r="N39" s="83" t="s">
        <v>133</v>
      </c>
      <c r="O39" s="83" t="s">
        <v>134</v>
      </c>
      <c r="P39" s="83" t="s">
        <v>135</v>
      </c>
      <c r="Q39" s="83" t="s">
        <v>133</v>
      </c>
      <c r="R39" s="83" t="s">
        <v>134</v>
      </c>
      <c r="S39" s="83" t="s">
        <v>135</v>
      </c>
      <c r="T39" s="83" t="s">
        <v>133</v>
      </c>
      <c r="U39" s="83" t="s">
        <v>134</v>
      </c>
      <c r="V39" s="83" t="s">
        <v>135</v>
      </c>
      <c r="W39" s="83" t="s">
        <v>133</v>
      </c>
      <c r="X39" s="83" t="s">
        <v>134</v>
      </c>
      <c r="Y39" s="83" t="s">
        <v>135</v>
      </c>
      <c r="Z39" s="84" t="s">
        <v>133</v>
      </c>
      <c r="AA39" s="203"/>
      <c r="AB39" s="213"/>
    </row>
    <row r="40" spans="2:28" x14ac:dyDescent="0.2">
      <c r="B40" s="10" t="s">
        <v>59</v>
      </c>
      <c r="C40" s="10">
        <v>2</v>
      </c>
      <c r="D40" s="10">
        <v>12</v>
      </c>
      <c r="E40" s="10"/>
      <c r="F40" s="10" t="s">
        <v>140</v>
      </c>
      <c r="G40" s="10"/>
      <c r="H40" s="10">
        <v>2</v>
      </c>
      <c r="I40" s="12">
        <v>35</v>
      </c>
      <c r="J40" s="13">
        <v>12</v>
      </c>
      <c r="K40" s="12"/>
      <c r="L40" s="106">
        <v>35</v>
      </c>
      <c r="M40" s="107">
        <v>12</v>
      </c>
      <c r="N40" s="106"/>
      <c r="O40" s="12"/>
      <c r="P40" s="13"/>
      <c r="Q40" s="12"/>
      <c r="R40" s="106"/>
      <c r="S40" s="107"/>
      <c r="T40" s="106"/>
      <c r="U40" s="33"/>
      <c r="V40" s="34"/>
      <c r="W40" s="33"/>
      <c r="X40" s="14"/>
      <c r="Y40" s="10"/>
      <c r="Z40" s="10"/>
      <c r="AA40" s="37">
        <f>SUM(I40*J40)+(L40*M40)+(O40*P40)+(R40*S40)+(U40*V40)+(X40*Y40)</f>
        <v>840</v>
      </c>
      <c r="AB40" s="17" t="e">
        <f t="shared" ref="AB40:AB47" si="6">AVERAGE(K40,N40,Q40,T40,W40,Z40)</f>
        <v>#DIV/0!</v>
      </c>
    </row>
    <row r="41" spans="2:28" x14ac:dyDescent="0.2">
      <c r="B41" s="10" t="s">
        <v>60</v>
      </c>
      <c r="C41" s="10">
        <v>3</v>
      </c>
      <c r="D41" s="10">
        <v>12</v>
      </c>
      <c r="E41" s="10"/>
      <c r="F41" s="10" t="s">
        <v>140</v>
      </c>
      <c r="G41" s="10"/>
      <c r="H41" s="10">
        <v>1</v>
      </c>
      <c r="I41" s="12">
        <v>35</v>
      </c>
      <c r="J41" s="13">
        <v>12</v>
      </c>
      <c r="K41" s="12"/>
      <c r="L41" s="106">
        <v>35</v>
      </c>
      <c r="M41" s="107">
        <v>12</v>
      </c>
      <c r="N41" s="106"/>
      <c r="O41" s="12">
        <v>41</v>
      </c>
      <c r="P41" s="13">
        <v>12</v>
      </c>
      <c r="Q41" s="12"/>
      <c r="R41" s="106"/>
      <c r="S41" s="107"/>
      <c r="T41" s="106"/>
      <c r="U41" s="33"/>
      <c r="V41" s="33"/>
      <c r="W41" s="33"/>
      <c r="X41" s="14"/>
      <c r="Y41" s="10"/>
      <c r="Z41" s="10"/>
      <c r="AA41" s="38">
        <f t="shared" ref="AA41:AA47" si="7">SUM(I41*J41)+(L41*M41)+(O41*P41)+(R41*S41)+(U41*V41)+(X41*Y41)</f>
        <v>1332</v>
      </c>
      <c r="AB41" s="17" t="e">
        <f t="shared" si="6"/>
        <v>#DIV/0!</v>
      </c>
    </row>
    <row r="42" spans="2:28" x14ac:dyDescent="0.2">
      <c r="B42" s="10" t="s">
        <v>61</v>
      </c>
      <c r="C42" s="10">
        <v>3</v>
      </c>
      <c r="D42" s="10">
        <v>10</v>
      </c>
      <c r="E42" s="10"/>
      <c r="F42" s="10" t="s">
        <v>140</v>
      </c>
      <c r="G42" s="10"/>
      <c r="H42" s="10">
        <v>2</v>
      </c>
      <c r="I42" s="12">
        <v>41</v>
      </c>
      <c r="J42" s="13">
        <v>10</v>
      </c>
      <c r="K42" s="12"/>
      <c r="L42" s="106">
        <v>41</v>
      </c>
      <c r="M42" s="107">
        <v>10</v>
      </c>
      <c r="N42" s="106"/>
      <c r="O42" s="12">
        <v>41</v>
      </c>
      <c r="P42" s="13">
        <v>10</v>
      </c>
      <c r="Q42" s="12"/>
      <c r="R42" s="106">
        <v>41</v>
      </c>
      <c r="S42" s="107">
        <v>10</v>
      </c>
      <c r="T42" s="106"/>
      <c r="U42" s="33"/>
      <c r="V42" s="33"/>
      <c r="W42" s="33"/>
      <c r="X42" s="14"/>
      <c r="Y42" s="10"/>
      <c r="Z42" s="10"/>
      <c r="AA42" s="38">
        <f t="shared" si="7"/>
        <v>1640</v>
      </c>
      <c r="AB42" s="17" t="e">
        <f t="shared" si="6"/>
        <v>#DIV/0!</v>
      </c>
    </row>
    <row r="43" spans="2:28" x14ac:dyDescent="0.2">
      <c r="B43" s="10" t="s">
        <v>62</v>
      </c>
      <c r="C43" s="11">
        <v>2</v>
      </c>
      <c r="D43" s="11">
        <v>10</v>
      </c>
      <c r="E43" s="11"/>
      <c r="F43" s="10" t="s">
        <v>140</v>
      </c>
      <c r="G43" s="10"/>
      <c r="H43" s="11">
        <v>1</v>
      </c>
      <c r="I43" s="12">
        <v>41</v>
      </c>
      <c r="J43" s="13">
        <v>10</v>
      </c>
      <c r="K43" s="12"/>
      <c r="L43" s="106">
        <v>41</v>
      </c>
      <c r="M43" s="107">
        <v>10</v>
      </c>
      <c r="N43" s="106"/>
      <c r="O43" s="12"/>
      <c r="P43" s="13"/>
      <c r="Q43" s="12"/>
      <c r="R43" s="106"/>
      <c r="S43" s="107"/>
      <c r="T43" s="106"/>
      <c r="U43" s="35"/>
      <c r="V43" s="35"/>
      <c r="W43" s="35"/>
      <c r="X43" s="20"/>
      <c r="Y43" s="11"/>
      <c r="Z43" s="11"/>
      <c r="AA43" s="38">
        <f>SUM(I43*J43)+(L43*M43)+(O43*P43)+(R43*S43)+(U43*V43)+(X43*Y43)</f>
        <v>820</v>
      </c>
      <c r="AB43" s="17" t="e">
        <f>AVERAGE(K43,N43,Q43,T43,W43,Z43)</f>
        <v>#DIV/0!</v>
      </c>
    </row>
    <row r="44" spans="2:28" x14ac:dyDescent="0.2">
      <c r="B44" s="10" t="s">
        <v>63</v>
      </c>
      <c r="C44" s="10">
        <v>3</v>
      </c>
      <c r="D44" s="10">
        <v>8</v>
      </c>
      <c r="E44" s="10"/>
      <c r="F44" s="10" t="s">
        <v>140</v>
      </c>
      <c r="G44" s="10"/>
      <c r="H44" s="10">
        <v>2</v>
      </c>
      <c r="I44" s="12">
        <v>45</v>
      </c>
      <c r="J44" s="13">
        <v>8</v>
      </c>
      <c r="K44" s="12"/>
      <c r="L44" s="106">
        <v>45</v>
      </c>
      <c r="M44" s="107">
        <v>8</v>
      </c>
      <c r="N44" s="106"/>
      <c r="O44" s="12">
        <v>50</v>
      </c>
      <c r="P44" s="13">
        <v>8</v>
      </c>
      <c r="Q44" s="12"/>
      <c r="R44" s="106"/>
      <c r="S44" s="107"/>
      <c r="T44" s="106"/>
      <c r="U44" s="35"/>
      <c r="V44" s="35"/>
      <c r="W44" s="35"/>
      <c r="X44" s="20"/>
      <c r="Y44" s="11"/>
      <c r="Z44" s="11"/>
      <c r="AA44" s="38">
        <f>SUM(I44*J44)+(L44*M44)+(O44*P44)+(R44*S44)+(U44*V44)+(X44*Y44)</f>
        <v>1120</v>
      </c>
      <c r="AB44" s="17" t="e">
        <f>AVERAGE(K44,N44,Q44,T44,W44,Z44)</f>
        <v>#DIV/0!</v>
      </c>
    </row>
    <row r="45" spans="2:28" x14ac:dyDescent="0.2">
      <c r="B45" s="10" t="s">
        <v>64</v>
      </c>
      <c r="C45" s="11">
        <v>3</v>
      </c>
      <c r="D45" s="11">
        <v>8</v>
      </c>
      <c r="E45" s="11"/>
      <c r="F45" s="10" t="s">
        <v>140</v>
      </c>
      <c r="G45" s="10"/>
      <c r="H45" s="11">
        <v>1</v>
      </c>
      <c r="I45" s="12">
        <v>50</v>
      </c>
      <c r="J45" s="13">
        <v>8</v>
      </c>
      <c r="K45" s="12"/>
      <c r="L45" s="106">
        <v>50</v>
      </c>
      <c r="M45" s="107">
        <v>8</v>
      </c>
      <c r="N45" s="106"/>
      <c r="O45" s="12">
        <v>52.5</v>
      </c>
      <c r="P45" s="13">
        <v>8</v>
      </c>
      <c r="Q45" s="12"/>
      <c r="R45" s="106">
        <v>52.5</v>
      </c>
      <c r="S45" s="107">
        <v>8</v>
      </c>
      <c r="T45" s="106"/>
      <c r="U45" s="35"/>
      <c r="V45" s="35"/>
      <c r="W45" s="35"/>
      <c r="X45" s="20"/>
      <c r="Y45" s="11"/>
      <c r="Z45" s="11"/>
      <c r="AA45" s="38">
        <f>SUM(I45*J45)+(L45*M45)+(O45*P45)+(R45*S45)+(U45*V45)+(X45*Y45)</f>
        <v>1640</v>
      </c>
      <c r="AB45" s="17" t="e">
        <f>AVERAGE(K45,N45,Q45,T45,W45,Z45)</f>
        <v>#DIV/0!</v>
      </c>
    </row>
    <row r="46" spans="2:28" hidden="1" x14ac:dyDescent="0.2">
      <c r="B46" s="10" t="s">
        <v>137</v>
      </c>
      <c r="C46" s="141" t="s">
        <v>141</v>
      </c>
      <c r="D46" s="88">
        <v>6</v>
      </c>
      <c r="E46" s="102">
        <v>0.05</v>
      </c>
      <c r="F46" s="88" t="s">
        <v>138</v>
      </c>
      <c r="G46" s="88"/>
      <c r="H46" s="88">
        <v>9</v>
      </c>
      <c r="I46" s="12"/>
      <c r="J46" s="13"/>
      <c r="K46" s="12"/>
      <c r="L46" s="106"/>
      <c r="M46" s="107"/>
      <c r="N46" s="106"/>
      <c r="O46" s="12"/>
      <c r="P46" s="13"/>
      <c r="Q46" s="12"/>
      <c r="R46" s="106"/>
      <c r="S46" s="107"/>
      <c r="T46" s="106"/>
      <c r="U46" s="35"/>
      <c r="V46" s="35"/>
      <c r="W46" s="35"/>
      <c r="X46" s="20"/>
      <c r="Y46" s="11"/>
      <c r="Z46" s="11"/>
      <c r="AA46" s="38">
        <f>SUM(I46*J46)+(L46*M46)+(O46*P46)+(R46*S46)+(U46*V46)+(X46*Y46)</f>
        <v>0</v>
      </c>
      <c r="AB46" s="17" t="e">
        <f>AVERAGE(K46,N46,Q46,T46,W46,Z46)</f>
        <v>#DIV/0!</v>
      </c>
    </row>
    <row r="47" spans="2:28" hidden="1" x14ac:dyDescent="0.2">
      <c r="B47" s="10" t="s">
        <v>139</v>
      </c>
      <c r="C47" s="142" t="s">
        <v>141</v>
      </c>
      <c r="D47" s="88">
        <v>6</v>
      </c>
      <c r="E47" s="102">
        <v>0.05</v>
      </c>
      <c r="F47" s="88" t="s">
        <v>138</v>
      </c>
      <c r="G47" s="88"/>
      <c r="H47" s="88">
        <v>9</v>
      </c>
      <c r="I47" s="12"/>
      <c r="J47" s="13"/>
      <c r="K47" s="12"/>
      <c r="L47" s="106"/>
      <c r="M47" s="107"/>
      <c r="N47" s="106"/>
      <c r="O47" s="12"/>
      <c r="P47" s="13"/>
      <c r="Q47" s="12"/>
      <c r="R47" s="106"/>
      <c r="S47" s="107"/>
      <c r="T47" s="106"/>
      <c r="U47" s="35"/>
      <c r="V47" s="35"/>
      <c r="W47" s="35"/>
      <c r="X47" s="20"/>
      <c r="Y47" s="11"/>
      <c r="Z47" s="11"/>
      <c r="AA47" s="39">
        <f t="shared" si="7"/>
        <v>0</v>
      </c>
      <c r="AB47" s="17" t="e">
        <f t="shared" si="6"/>
        <v>#DIV/0!</v>
      </c>
    </row>
    <row r="48" spans="2:28" x14ac:dyDescent="0.2">
      <c r="B48" s="202" t="str">
        <f>'Exercise Selection'!A6</f>
        <v>(C2) Leg Curls</v>
      </c>
      <c r="C48" s="203"/>
      <c r="D48" s="203"/>
      <c r="E48" s="203"/>
      <c r="F48" s="203"/>
      <c r="G48" s="203"/>
      <c r="H48" s="203"/>
      <c r="I48" s="202" t="s">
        <v>119</v>
      </c>
      <c r="J48" s="203"/>
      <c r="K48" s="203"/>
      <c r="L48" s="202" t="s">
        <v>120</v>
      </c>
      <c r="M48" s="203"/>
      <c r="N48" s="203"/>
      <c r="O48" s="202" t="s">
        <v>121</v>
      </c>
      <c r="P48" s="203"/>
      <c r="Q48" s="203"/>
      <c r="R48" s="202" t="s">
        <v>122</v>
      </c>
      <c r="S48" s="203"/>
      <c r="T48" s="203"/>
      <c r="U48" s="202" t="s">
        <v>123</v>
      </c>
      <c r="V48" s="203"/>
      <c r="W48" s="203"/>
      <c r="X48" s="202" t="s">
        <v>124</v>
      </c>
      <c r="Y48" s="203"/>
      <c r="Z48" s="203"/>
      <c r="AA48" s="202" t="s">
        <v>126</v>
      </c>
      <c r="AB48" s="212" t="s">
        <v>127</v>
      </c>
    </row>
    <row r="49" spans="2:28" x14ac:dyDescent="0.2">
      <c r="B49" s="202"/>
      <c r="C49" s="203"/>
      <c r="D49" s="203"/>
      <c r="E49" s="203"/>
      <c r="F49" s="203"/>
      <c r="G49" s="203"/>
      <c r="H49" s="203"/>
      <c r="I49" s="148"/>
      <c r="J49" s="148"/>
      <c r="K49" s="148"/>
      <c r="L49" s="148"/>
      <c r="M49" s="148"/>
      <c r="N49" s="148"/>
      <c r="O49" s="148"/>
      <c r="P49" s="148"/>
      <c r="Q49" s="148"/>
      <c r="R49" s="148"/>
      <c r="S49" s="148"/>
      <c r="T49" s="148"/>
      <c r="U49" s="148"/>
      <c r="V49" s="148"/>
      <c r="W49" s="148"/>
      <c r="X49" s="148"/>
      <c r="Y49" s="148"/>
      <c r="Z49" s="148"/>
      <c r="AA49" s="203"/>
      <c r="AB49" s="213"/>
    </row>
    <row r="50" spans="2:28" s="111" customFormat="1" x14ac:dyDescent="0.2">
      <c r="B50" s="80" t="s">
        <v>128</v>
      </c>
      <c r="C50" s="80" t="s">
        <v>129</v>
      </c>
      <c r="D50" s="80" t="s">
        <v>38</v>
      </c>
      <c r="E50" s="80" t="s">
        <v>130</v>
      </c>
      <c r="F50" s="80" t="s">
        <v>131</v>
      </c>
      <c r="G50" s="81" t="s">
        <v>132</v>
      </c>
      <c r="H50" s="82" t="s">
        <v>133</v>
      </c>
      <c r="I50" s="83" t="s">
        <v>134</v>
      </c>
      <c r="J50" s="83" t="s">
        <v>135</v>
      </c>
      <c r="K50" s="83" t="s">
        <v>133</v>
      </c>
      <c r="L50" s="83" t="s">
        <v>134</v>
      </c>
      <c r="M50" s="83" t="s">
        <v>135</v>
      </c>
      <c r="N50" s="83" t="s">
        <v>133</v>
      </c>
      <c r="O50" s="83" t="s">
        <v>134</v>
      </c>
      <c r="P50" s="83" t="s">
        <v>135</v>
      </c>
      <c r="Q50" s="83" t="s">
        <v>133</v>
      </c>
      <c r="R50" s="83" t="s">
        <v>134</v>
      </c>
      <c r="S50" s="83" t="s">
        <v>135</v>
      </c>
      <c r="T50" s="83" t="s">
        <v>133</v>
      </c>
      <c r="U50" s="83" t="s">
        <v>134</v>
      </c>
      <c r="V50" s="83" t="s">
        <v>135</v>
      </c>
      <c r="W50" s="83" t="s">
        <v>133</v>
      </c>
      <c r="X50" s="83" t="s">
        <v>134</v>
      </c>
      <c r="Y50" s="83" t="s">
        <v>135</v>
      </c>
      <c r="Z50" s="84" t="s">
        <v>133</v>
      </c>
      <c r="AA50" s="203"/>
      <c r="AB50" s="213"/>
    </row>
    <row r="51" spans="2:28" x14ac:dyDescent="0.2">
      <c r="B51" s="10" t="s">
        <v>59</v>
      </c>
      <c r="C51" s="10">
        <v>2</v>
      </c>
      <c r="D51" s="10">
        <v>12</v>
      </c>
      <c r="E51" s="10"/>
      <c r="F51" s="10" t="s">
        <v>140</v>
      </c>
      <c r="G51" s="10"/>
      <c r="H51" s="10">
        <v>2</v>
      </c>
      <c r="I51" s="12">
        <v>45</v>
      </c>
      <c r="J51" s="12">
        <v>12</v>
      </c>
      <c r="K51" s="12"/>
      <c r="L51" s="106">
        <v>45</v>
      </c>
      <c r="M51" s="107">
        <v>12</v>
      </c>
      <c r="N51" s="106"/>
      <c r="O51" s="12"/>
      <c r="P51" s="13"/>
      <c r="Q51" s="12"/>
      <c r="R51" s="106"/>
      <c r="S51" s="107"/>
      <c r="T51" s="106"/>
      <c r="U51" s="33"/>
      <c r="V51" s="34"/>
      <c r="W51" s="33"/>
      <c r="X51" s="14"/>
      <c r="Y51" s="10"/>
      <c r="Z51" s="10"/>
      <c r="AA51" s="37">
        <f>SUM(I51*J51)+(L51*M51)+(O51*P51)+(R51*S51)+(U51*V51)+(X51*Y51)</f>
        <v>1080</v>
      </c>
      <c r="AB51" s="17" t="e">
        <f t="shared" ref="AB51:AB58" si="8">AVERAGE(K51,N51,Q51,T51,W51,Z51)</f>
        <v>#DIV/0!</v>
      </c>
    </row>
    <row r="52" spans="2:28" x14ac:dyDescent="0.2">
      <c r="B52" s="10" t="s">
        <v>60</v>
      </c>
      <c r="C52" s="10">
        <v>3</v>
      </c>
      <c r="D52" s="10">
        <v>12</v>
      </c>
      <c r="E52" s="10"/>
      <c r="F52" s="10" t="s">
        <v>140</v>
      </c>
      <c r="G52" s="10"/>
      <c r="H52" s="10">
        <v>1</v>
      </c>
      <c r="I52" s="12">
        <v>45</v>
      </c>
      <c r="J52" s="12">
        <v>12</v>
      </c>
      <c r="K52" s="12"/>
      <c r="L52" s="106">
        <v>45</v>
      </c>
      <c r="M52" s="107">
        <v>12</v>
      </c>
      <c r="N52" s="106"/>
      <c r="O52" s="12">
        <v>45</v>
      </c>
      <c r="P52" s="13">
        <v>12</v>
      </c>
      <c r="Q52" s="12"/>
      <c r="R52" s="106"/>
      <c r="S52" s="107"/>
      <c r="T52" s="106"/>
      <c r="U52" s="33"/>
      <c r="V52" s="33"/>
      <c r="W52" s="33"/>
      <c r="X52" s="14"/>
      <c r="Y52" s="10"/>
      <c r="Z52" s="10"/>
      <c r="AA52" s="38">
        <f t="shared" ref="AA52:AA58" si="9">SUM(I52*J52)+(L52*M52)+(O52*P52)+(R52*S52)+(U52*V52)+(X52*Y52)</f>
        <v>1620</v>
      </c>
      <c r="AB52" s="17" t="e">
        <f t="shared" si="8"/>
        <v>#DIV/0!</v>
      </c>
    </row>
    <row r="53" spans="2:28" x14ac:dyDescent="0.2">
      <c r="B53" s="10" t="s">
        <v>61</v>
      </c>
      <c r="C53" s="10">
        <v>3</v>
      </c>
      <c r="D53" s="10">
        <v>10</v>
      </c>
      <c r="E53" s="10"/>
      <c r="F53" s="10" t="s">
        <v>140</v>
      </c>
      <c r="G53" s="10"/>
      <c r="H53" s="10">
        <v>2</v>
      </c>
      <c r="I53" s="12">
        <v>45</v>
      </c>
      <c r="J53" s="13">
        <v>10</v>
      </c>
      <c r="K53" s="12"/>
      <c r="L53" s="106">
        <v>45</v>
      </c>
      <c r="M53" s="107">
        <v>10</v>
      </c>
      <c r="N53" s="106"/>
      <c r="O53" s="12">
        <v>45</v>
      </c>
      <c r="P53" s="13">
        <v>10</v>
      </c>
      <c r="Q53" s="12"/>
      <c r="R53" s="106">
        <v>45</v>
      </c>
      <c r="S53" s="107">
        <v>8</v>
      </c>
      <c r="T53" s="106"/>
      <c r="U53" s="33"/>
      <c r="V53" s="33"/>
      <c r="W53" s="33"/>
      <c r="X53" s="14"/>
      <c r="Y53" s="10"/>
      <c r="Z53" s="10"/>
      <c r="AA53" s="38">
        <f t="shared" si="9"/>
        <v>1710</v>
      </c>
      <c r="AB53" s="17" t="e">
        <f t="shared" si="8"/>
        <v>#DIV/0!</v>
      </c>
    </row>
    <row r="54" spans="2:28" x14ac:dyDescent="0.2">
      <c r="B54" s="10" t="s">
        <v>62</v>
      </c>
      <c r="C54" s="11">
        <v>2</v>
      </c>
      <c r="D54" s="11">
        <v>10</v>
      </c>
      <c r="E54" s="11"/>
      <c r="F54" s="10" t="s">
        <v>140</v>
      </c>
      <c r="G54" s="10"/>
      <c r="H54" s="11">
        <v>1</v>
      </c>
      <c r="I54" s="12">
        <v>45</v>
      </c>
      <c r="J54" s="13">
        <v>10</v>
      </c>
      <c r="K54" s="12"/>
      <c r="L54" s="106">
        <v>50</v>
      </c>
      <c r="M54" s="107">
        <v>10</v>
      </c>
      <c r="N54" s="106"/>
      <c r="O54" s="12"/>
      <c r="P54" s="13"/>
      <c r="Q54" s="12"/>
      <c r="R54" s="106"/>
      <c r="S54" s="107"/>
      <c r="T54" s="106"/>
      <c r="U54" s="35"/>
      <c r="V54" s="35"/>
      <c r="W54" s="35"/>
      <c r="X54" s="20"/>
      <c r="Y54" s="11"/>
      <c r="Z54" s="11"/>
      <c r="AA54" s="38">
        <f>SUM(I54*J54)+(L54*M54)+(O54*P54)+(R54*S54)+(U54*V54)+(X54*Y54)</f>
        <v>950</v>
      </c>
      <c r="AB54" s="17" t="e">
        <f>AVERAGE(K54,N54,Q54,T54,W54,Z54)</f>
        <v>#DIV/0!</v>
      </c>
    </row>
    <row r="55" spans="2:28" x14ac:dyDescent="0.2">
      <c r="B55" s="10" t="s">
        <v>63</v>
      </c>
      <c r="C55" s="10">
        <v>3</v>
      </c>
      <c r="D55" s="10">
        <v>8</v>
      </c>
      <c r="E55" s="10"/>
      <c r="F55" s="10" t="s">
        <v>140</v>
      </c>
      <c r="G55" s="10"/>
      <c r="H55" s="10">
        <v>2</v>
      </c>
      <c r="I55" s="12">
        <v>50</v>
      </c>
      <c r="J55" s="13">
        <v>8</v>
      </c>
      <c r="K55" s="12"/>
      <c r="L55" s="106">
        <v>50</v>
      </c>
      <c r="M55" s="107">
        <v>8</v>
      </c>
      <c r="N55" s="106"/>
      <c r="O55" s="12">
        <v>50</v>
      </c>
      <c r="P55" s="13">
        <v>8</v>
      </c>
      <c r="Q55" s="12"/>
      <c r="R55" s="106"/>
      <c r="S55" s="107"/>
      <c r="T55" s="106"/>
      <c r="U55" s="35"/>
      <c r="V55" s="35"/>
      <c r="W55" s="35"/>
      <c r="X55" s="20"/>
      <c r="Y55" s="11"/>
      <c r="Z55" s="11"/>
      <c r="AA55" s="38">
        <f>SUM(I55*J55)+(L55*M55)+(O55*P55)+(R55*S55)+(U55*V55)+(X55*Y55)</f>
        <v>1200</v>
      </c>
      <c r="AB55" s="17" t="e">
        <f>AVERAGE(K55,N55,Q55,T55,W55,Z55)</f>
        <v>#DIV/0!</v>
      </c>
    </row>
    <row r="56" spans="2:28" x14ac:dyDescent="0.2">
      <c r="B56" s="10" t="s">
        <v>64</v>
      </c>
      <c r="C56" s="11">
        <v>3</v>
      </c>
      <c r="D56" s="11">
        <v>8</v>
      </c>
      <c r="E56" s="11"/>
      <c r="F56" s="10" t="s">
        <v>140</v>
      </c>
      <c r="G56" s="10"/>
      <c r="H56" s="11">
        <v>1</v>
      </c>
      <c r="I56" s="12">
        <v>50</v>
      </c>
      <c r="J56" s="13">
        <v>8</v>
      </c>
      <c r="K56" s="12"/>
      <c r="L56" s="106">
        <v>50</v>
      </c>
      <c r="M56" s="107">
        <v>8</v>
      </c>
      <c r="N56" s="106"/>
      <c r="O56" s="12">
        <v>50</v>
      </c>
      <c r="P56" s="13">
        <v>8</v>
      </c>
      <c r="Q56" s="12"/>
      <c r="R56" s="106">
        <v>52.5</v>
      </c>
      <c r="S56" s="107">
        <v>8</v>
      </c>
      <c r="T56" s="106"/>
      <c r="U56" s="35"/>
      <c r="V56" s="35"/>
      <c r="W56" s="35"/>
      <c r="X56" s="20"/>
      <c r="Y56" s="11"/>
      <c r="Z56" s="11"/>
      <c r="AA56" s="38">
        <f>SUM(I56*J56)+(L56*M56)+(O56*P56)+(R56*S56)+(U56*V56)+(X56*Y56)</f>
        <v>1620</v>
      </c>
      <c r="AB56" s="17" t="e">
        <f>AVERAGE(K56,N56,Q56,T56,W56,Z56)</f>
        <v>#DIV/0!</v>
      </c>
    </row>
    <row r="57" spans="2:28" hidden="1" x14ac:dyDescent="0.2">
      <c r="B57" s="10" t="s">
        <v>137</v>
      </c>
      <c r="C57" s="90">
        <v>3</v>
      </c>
      <c r="D57" s="88">
        <v>8</v>
      </c>
      <c r="E57" s="88"/>
      <c r="F57" s="88" t="s">
        <v>138</v>
      </c>
      <c r="G57" s="88"/>
      <c r="H57" s="88">
        <v>9</v>
      </c>
      <c r="I57" s="12"/>
      <c r="J57" s="13"/>
      <c r="K57" s="12"/>
      <c r="L57" s="106"/>
      <c r="M57" s="107"/>
      <c r="N57" s="106"/>
      <c r="O57" s="12"/>
      <c r="P57" s="13"/>
      <c r="Q57" s="12"/>
      <c r="R57" s="106"/>
      <c r="S57" s="107"/>
      <c r="T57" s="106"/>
      <c r="U57" s="35"/>
      <c r="V57" s="35"/>
      <c r="W57" s="35"/>
      <c r="X57" s="20"/>
      <c r="Y57" s="11"/>
      <c r="Z57" s="11"/>
      <c r="AA57" s="38">
        <f>SUM(I57*J57)+(L57*M57)+(O57*P57)+(R57*S57)+(U57*V57)+(X57*Y57)</f>
        <v>0</v>
      </c>
      <c r="AB57" s="17" t="e">
        <f>AVERAGE(K57,N57,Q57,T57,W57,Z57)</f>
        <v>#DIV/0!</v>
      </c>
    </row>
    <row r="58" spans="2:28" hidden="1" x14ac:dyDescent="0.2">
      <c r="B58" s="10" t="s">
        <v>139</v>
      </c>
      <c r="C58" s="144">
        <v>2</v>
      </c>
      <c r="D58" s="88">
        <v>8</v>
      </c>
      <c r="E58" s="88"/>
      <c r="F58" s="88" t="s">
        <v>138</v>
      </c>
      <c r="G58" s="88"/>
      <c r="H58" s="88">
        <v>9</v>
      </c>
      <c r="I58" s="12"/>
      <c r="J58" s="13"/>
      <c r="K58" s="12"/>
      <c r="L58" s="106"/>
      <c r="M58" s="107"/>
      <c r="N58" s="106"/>
      <c r="O58" s="12"/>
      <c r="P58" s="13"/>
      <c r="Q58" s="12"/>
      <c r="R58" s="106"/>
      <c r="S58" s="107"/>
      <c r="T58" s="106"/>
      <c r="U58" s="35"/>
      <c r="V58" s="35"/>
      <c r="W58" s="35"/>
      <c r="X58" s="20"/>
      <c r="Y58" s="11"/>
      <c r="Z58" s="11"/>
      <c r="AA58" s="39">
        <f t="shared" si="9"/>
        <v>0</v>
      </c>
      <c r="AB58" s="17" t="e">
        <f t="shared" si="8"/>
        <v>#DIV/0!</v>
      </c>
    </row>
    <row r="59" spans="2:28" x14ac:dyDescent="0.2">
      <c r="B59" s="202" t="str">
        <f>'Exercise Selection'!A7</f>
        <v>(D1) Glute Bridge March</v>
      </c>
      <c r="C59" s="203"/>
      <c r="D59" s="203"/>
      <c r="E59" s="203"/>
      <c r="F59" s="203"/>
      <c r="G59" s="203"/>
      <c r="H59" s="203"/>
      <c r="I59" s="202" t="s">
        <v>119</v>
      </c>
      <c r="J59" s="203"/>
      <c r="K59" s="203"/>
      <c r="L59" s="202" t="s">
        <v>120</v>
      </c>
      <c r="M59" s="203"/>
      <c r="N59" s="203"/>
      <c r="O59" s="202" t="s">
        <v>121</v>
      </c>
      <c r="P59" s="203"/>
      <c r="Q59" s="203"/>
      <c r="R59" s="202" t="s">
        <v>122</v>
      </c>
      <c r="S59" s="203"/>
      <c r="T59" s="203"/>
      <c r="U59" s="202" t="s">
        <v>123</v>
      </c>
      <c r="V59" s="203"/>
      <c r="W59" s="203"/>
      <c r="X59" s="202" t="s">
        <v>124</v>
      </c>
      <c r="Y59" s="203"/>
      <c r="Z59" s="203"/>
      <c r="AA59" s="202" t="s">
        <v>126</v>
      </c>
      <c r="AB59" s="212" t="s">
        <v>127</v>
      </c>
    </row>
    <row r="60" spans="2:28" x14ac:dyDescent="0.2">
      <c r="B60" s="202"/>
      <c r="C60" s="203"/>
      <c r="D60" s="203"/>
      <c r="E60" s="203"/>
      <c r="F60" s="203"/>
      <c r="G60" s="203"/>
      <c r="H60" s="203"/>
      <c r="I60" s="148"/>
      <c r="J60" s="148"/>
      <c r="K60" s="148"/>
      <c r="L60" s="148"/>
      <c r="M60" s="148"/>
      <c r="N60" s="148"/>
      <c r="O60" s="148"/>
      <c r="P60" s="148"/>
      <c r="Q60" s="148"/>
      <c r="R60" s="148"/>
      <c r="S60" s="148"/>
      <c r="T60" s="148"/>
      <c r="U60" s="148"/>
      <c r="V60" s="148"/>
      <c r="W60" s="148"/>
      <c r="X60" s="148"/>
      <c r="Y60" s="148"/>
      <c r="Z60" s="148"/>
      <c r="AA60" s="203"/>
      <c r="AB60" s="213"/>
    </row>
    <row r="61" spans="2:28" s="111" customFormat="1" x14ac:dyDescent="0.2">
      <c r="B61" s="80" t="s">
        <v>128</v>
      </c>
      <c r="C61" s="80" t="s">
        <v>129</v>
      </c>
      <c r="D61" s="80" t="s">
        <v>38</v>
      </c>
      <c r="E61" s="80" t="s">
        <v>130</v>
      </c>
      <c r="F61" s="80" t="s">
        <v>131</v>
      </c>
      <c r="G61" s="81" t="s">
        <v>132</v>
      </c>
      <c r="H61" s="82" t="s">
        <v>133</v>
      </c>
      <c r="I61" s="83" t="s">
        <v>134</v>
      </c>
      <c r="J61" s="83" t="s">
        <v>135</v>
      </c>
      <c r="K61" s="83" t="s">
        <v>133</v>
      </c>
      <c r="L61" s="83" t="s">
        <v>134</v>
      </c>
      <c r="M61" s="83" t="s">
        <v>135</v>
      </c>
      <c r="N61" s="83" t="s">
        <v>133</v>
      </c>
      <c r="O61" s="83" t="s">
        <v>134</v>
      </c>
      <c r="P61" s="83" t="s">
        <v>135</v>
      </c>
      <c r="Q61" s="83" t="s">
        <v>133</v>
      </c>
      <c r="R61" s="83" t="s">
        <v>134</v>
      </c>
      <c r="S61" s="83" t="s">
        <v>135</v>
      </c>
      <c r="T61" s="83" t="s">
        <v>133</v>
      </c>
      <c r="U61" s="83" t="s">
        <v>134</v>
      </c>
      <c r="V61" s="83" t="s">
        <v>135</v>
      </c>
      <c r="W61" s="83" t="s">
        <v>133</v>
      </c>
      <c r="X61" s="83" t="s">
        <v>134</v>
      </c>
      <c r="Y61" s="83" t="s">
        <v>135</v>
      </c>
      <c r="Z61" s="84" t="s">
        <v>133</v>
      </c>
      <c r="AA61" s="203"/>
      <c r="AB61" s="213"/>
    </row>
    <row r="62" spans="2:28" x14ac:dyDescent="0.2">
      <c r="B62" s="10" t="s">
        <v>59</v>
      </c>
      <c r="C62" s="10">
        <v>2</v>
      </c>
      <c r="D62" s="10">
        <v>8</v>
      </c>
      <c r="E62" s="10"/>
      <c r="F62" s="10" t="s">
        <v>140</v>
      </c>
      <c r="G62" s="10"/>
      <c r="H62" s="10">
        <v>2</v>
      </c>
      <c r="I62" s="12"/>
      <c r="J62" s="13">
        <v>8</v>
      </c>
      <c r="K62" s="12"/>
      <c r="L62" s="106"/>
      <c r="M62" s="107">
        <v>8</v>
      </c>
      <c r="N62" s="106"/>
      <c r="O62" s="12"/>
      <c r="P62" s="13"/>
      <c r="Q62" s="12"/>
      <c r="R62" s="106"/>
      <c r="S62" s="107"/>
      <c r="T62" s="106"/>
      <c r="U62" s="33"/>
      <c r="V62" s="34"/>
      <c r="W62" s="33"/>
      <c r="X62" s="14"/>
      <c r="Y62" s="10"/>
      <c r="Z62" s="10"/>
      <c r="AA62" s="37">
        <f>SUM(I62*J62)+(L62*M62)+(O62*P62)+(R62*S62)+(U62*V62)+(X62*Y62)</f>
        <v>0</v>
      </c>
      <c r="AB62" s="17" t="e">
        <f t="shared" ref="AB62:AB69" si="10">AVERAGE(K62,N62,Q62,T62,W62,Z62)</f>
        <v>#DIV/0!</v>
      </c>
    </row>
    <row r="63" spans="2:28" x14ac:dyDescent="0.2">
      <c r="B63" s="10" t="s">
        <v>60</v>
      </c>
      <c r="C63" s="10">
        <v>3</v>
      </c>
      <c r="D63" s="10">
        <v>8</v>
      </c>
      <c r="E63" s="10"/>
      <c r="F63" s="10" t="s">
        <v>140</v>
      </c>
      <c r="G63" s="10"/>
      <c r="H63" s="10">
        <v>1</v>
      </c>
      <c r="I63" s="12"/>
      <c r="J63" s="13">
        <v>8</v>
      </c>
      <c r="K63" s="12"/>
      <c r="L63" s="106"/>
      <c r="M63" s="107">
        <v>8</v>
      </c>
      <c r="N63" s="106"/>
      <c r="O63" s="12"/>
      <c r="P63" s="13">
        <v>8</v>
      </c>
      <c r="Q63" s="12"/>
      <c r="R63" s="106"/>
      <c r="S63" s="107"/>
      <c r="T63" s="106"/>
      <c r="U63" s="33"/>
      <c r="V63" s="33"/>
      <c r="W63" s="33"/>
      <c r="X63" s="14"/>
      <c r="Y63" s="10"/>
      <c r="Z63" s="10"/>
      <c r="AA63" s="38">
        <f t="shared" ref="AA63:AA69" si="11">SUM(I63*J63)+(L63*M63)+(O63*P63)+(R63*S63)+(U63*V63)+(X63*Y63)</f>
        <v>0</v>
      </c>
      <c r="AB63" s="17" t="e">
        <f t="shared" si="10"/>
        <v>#DIV/0!</v>
      </c>
    </row>
    <row r="64" spans="2:28" x14ac:dyDescent="0.2">
      <c r="B64" s="10" t="s">
        <v>61</v>
      </c>
      <c r="C64" s="10">
        <v>3</v>
      </c>
      <c r="D64" s="10">
        <v>10</v>
      </c>
      <c r="E64" s="10"/>
      <c r="F64" s="10" t="s">
        <v>140</v>
      </c>
      <c r="G64" s="10"/>
      <c r="H64" s="10">
        <v>2</v>
      </c>
      <c r="I64" s="12"/>
      <c r="J64" s="13">
        <v>10</v>
      </c>
      <c r="K64" s="12"/>
      <c r="L64" s="106"/>
      <c r="M64" s="107">
        <v>10</v>
      </c>
      <c r="N64" s="106"/>
      <c r="O64" s="12"/>
      <c r="P64" s="13">
        <v>10</v>
      </c>
      <c r="Q64" s="12"/>
      <c r="R64" s="106"/>
      <c r="S64" s="107">
        <v>10</v>
      </c>
      <c r="T64" s="106"/>
      <c r="U64" s="33"/>
      <c r="V64" s="33"/>
      <c r="W64" s="33"/>
      <c r="X64" s="14"/>
      <c r="Y64" s="10"/>
      <c r="Z64" s="10"/>
      <c r="AA64" s="38">
        <f t="shared" si="11"/>
        <v>0</v>
      </c>
      <c r="AB64" s="17" t="e">
        <f t="shared" si="10"/>
        <v>#DIV/0!</v>
      </c>
    </row>
    <row r="65" spans="2:28" x14ac:dyDescent="0.2">
      <c r="B65" s="10" t="s">
        <v>62</v>
      </c>
      <c r="C65" s="11">
        <v>2</v>
      </c>
      <c r="D65" s="11">
        <v>10</v>
      </c>
      <c r="E65" s="11"/>
      <c r="F65" s="10" t="s">
        <v>140</v>
      </c>
      <c r="G65" s="10"/>
      <c r="H65" s="11">
        <v>1</v>
      </c>
      <c r="I65" s="12"/>
      <c r="J65" s="13">
        <v>10</v>
      </c>
      <c r="K65" s="12"/>
      <c r="L65" s="106"/>
      <c r="M65" s="107">
        <v>10</v>
      </c>
      <c r="N65" s="106"/>
      <c r="O65" s="12"/>
      <c r="P65" s="13"/>
      <c r="Q65" s="12"/>
      <c r="R65" s="106"/>
      <c r="S65" s="107"/>
      <c r="T65" s="106"/>
      <c r="U65" s="35"/>
      <c r="V65" s="33"/>
      <c r="W65" s="35"/>
      <c r="X65" s="20"/>
      <c r="Y65" s="11"/>
      <c r="Z65" s="11"/>
      <c r="AA65" s="38">
        <f>SUM(I65*J65)+(L65*M65)+(O65*P65)+(R65*S65)+(U65*V65)+(X65*Y65)</f>
        <v>0</v>
      </c>
      <c r="AB65" s="17" t="e">
        <f>AVERAGE(K65,N65,Q65,T65,W65,Z65)</f>
        <v>#DIV/0!</v>
      </c>
    </row>
    <row r="66" spans="2:28" x14ac:dyDescent="0.2">
      <c r="B66" s="10" t="s">
        <v>63</v>
      </c>
      <c r="C66" s="10">
        <v>3</v>
      </c>
      <c r="D66" s="10">
        <v>12</v>
      </c>
      <c r="E66" s="10"/>
      <c r="F66" s="10" t="s">
        <v>140</v>
      </c>
      <c r="G66" s="10"/>
      <c r="H66" s="10">
        <v>2</v>
      </c>
      <c r="I66" s="12"/>
      <c r="J66" s="13">
        <v>12</v>
      </c>
      <c r="K66" s="12"/>
      <c r="L66" s="106"/>
      <c r="M66" s="107">
        <v>12</v>
      </c>
      <c r="N66" s="106"/>
      <c r="O66" s="12"/>
      <c r="P66" s="13">
        <v>12</v>
      </c>
      <c r="Q66" s="12"/>
      <c r="R66" s="106"/>
      <c r="S66" s="107"/>
      <c r="T66" s="106"/>
      <c r="U66" s="35"/>
      <c r="V66" s="35"/>
      <c r="W66" s="35"/>
      <c r="X66" s="20"/>
      <c r="Y66" s="11"/>
      <c r="Z66" s="11"/>
      <c r="AA66" s="38">
        <f>SUM(I66*J66)+(L66*M66)+(O66*P66)+(R66*S66)+(U66*V66)+(X66*Y66)</f>
        <v>0</v>
      </c>
      <c r="AB66" s="17" t="e">
        <f>AVERAGE(K66,N66,Q66,T66,W66,Z66)</f>
        <v>#DIV/0!</v>
      </c>
    </row>
    <row r="67" spans="2:28" x14ac:dyDescent="0.2">
      <c r="B67" s="10" t="s">
        <v>64</v>
      </c>
      <c r="C67" s="11">
        <v>3</v>
      </c>
      <c r="D67" s="11">
        <v>12</v>
      </c>
      <c r="E67" s="11"/>
      <c r="F67" s="10" t="s">
        <v>140</v>
      </c>
      <c r="G67" s="10"/>
      <c r="H67" s="11">
        <v>1</v>
      </c>
      <c r="I67" s="12"/>
      <c r="J67" s="13">
        <v>12</v>
      </c>
      <c r="K67" s="12"/>
      <c r="L67" s="106"/>
      <c r="M67" s="107">
        <v>12</v>
      </c>
      <c r="N67" s="106"/>
      <c r="O67" s="12"/>
      <c r="P67" s="13">
        <v>12</v>
      </c>
      <c r="Q67" s="12"/>
      <c r="R67" s="106"/>
      <c r="S67" s="107">
        <v>12</v>
      </c>
      <c r="T67" s="106"/>
      <c r="U67" s="35"/>
      <c r="V67" s="35"/>
      <c r="W67" s="35"/>
      <c r="X67" s="20"/>
      <c r="Y67" s="11"/>
      <c r="Z67" s="11"/>
      <c r="AA67" s="38">
        <f>SUM(I67*J67)+(L67*M67)+(O67*P67)+(R67*S67)+(U67*V67)+(X67*Y67)</f>
        <v>0</v>
      </c>
      <c r="AB67" s="17" t="e">
        <f>AVERAGE(K67,N67,Q67,T67,W67,Z67)</f>
        <v>#DIV/0!</v>
      </c>
    </row>
    <row r="68" spans="2:28" hidden="1" x14ac:dyDescent="0.2">
      <c r="B68" s="10" t="s">
        <v>137</v>
      </c>
      <c r="C68" s="90">
        <v>3</v>
      </c>
      <c r="D68" s="88">
        <v>8</v>
      </c>
      <c r="E68" s="88"/>
      <c r="F68" s="88" t="s">
        <v>138</v>
      </c>
      <c r="G68" s="88"/>
      <c r="H68" s="88">
        <v>9</v>
      </c>
      <c r="I68" s="12"/>
      <c r="J68" s="13"/>
      <c r="K68" s="12"/>
      <c r="L68" s="106"/>
      <c r="M68" s="107"/>
      <c r="N68" s="106"/>
      <c r="O68" s="12"/>
      <c r="P68" s="13"/>
      <c r="Q68" s="12"/>
      <c r="R68" s="106"/>
      <c r="S68" s="107"/>
      <c r="T68" s="106"/>
      <c r="U68" s="35"/>
      <c r="V68" s="35"/>
      <c r="W68" s="35"/>
      <c r="X68" s="20"/>
      <c r="Y68" s="11"/>
      <c r="Z68" s="11"/>
      <c r="AA68" s="38">
        <f>SUM(I68*J68)+(L68*M68)+(O68*P68)+(R68*S68)+(U68*V68)+(X68*Y68)</f>
        <v>0</v>
      </c>
      <c r="AB68" s="17" t="e">
        <f>AVERAGE(K68,N68,Q68,T68,W68,Z68)</f>
        <v>#DIV/0!</v>
      </c>
    </row>
    <row r="69" spans="2:28" hidden="1" x14ac:dyDescent="0.2">
      <c r="B69" s="10" t="s">
        <v>139</v>
      </c>
      <c r="C69" s="144">
        <v>2</v>
      </c>
      <c r="D69" s="88">
        <v>8</v>
      </c>
      <c r="E69" s="88"/>
      <c r="F69" s="88" t="s">
        <v>138</v>
      </c>
      <c r="G69" s="88"/>
      <c r="H69" s="88">
        <v>9</v>
      </c>
      <c r="I69" s="12"/>
      <c r="J69" s="13"/>
      <c r="K69" s="12"/>
      <c r="L69" s="106"/>
      <c r="M69" s="107"/>
      <c r="N69" s="106"/>
      <c r="O69" s="12"/>
      <c r="P69" s="13"/>
      <c r="Q69" s="12"/>
      <c r="R69" s="106"/>
      <c r="S69" s="107"/>
      <c r="T69" s="106"/>
      <c r="U69" s="35"/>
      <c r="V69" s="35"/>
      <c r="W69" s="35"/>
      <c r="X69" s="20"/>
      <c r="Y69" s="11"/>
      <c r="Z69" s="11"/>
      <c r="AA69" s="39">
        <f t="shared" si="11"/>
        <v>0</v>
      </c>
      <c r="AB69" s="17" t="e">
        <f t="shared" si="10"/>
        <v>#DIV/0!</v>
      </c>
    </row>
    <row r="70" spans="2:28" x14ac:dyDescent="0.2">
      <c r="B70" s="202" t="str">
        <f>'Exercise Selection'!A8</f>
        <v>(D2) Bird Dog</v>
      </c>
      <c r="C70" s="203"/>
      <c r="D70" s="203"/>
      <c r="E70" s="203"/>
      <c r="F70" s="203"/>
      <c r="G70" s="203"/>
      <c r="H70" s="203"/>
      <c r="I70" s="202" t="s">
        <v>119</v>
      </c>
      <c r="J70" s="203"/>
      <c r="K70" s="203"/>
      <c r="L70" s="202" t="s">
        <v>120</v>
      </c>
      <c r="M70" s="203"/>
      <c r="N70" s="203"/>
      <c r="O70" s="202" t="s">
        <v>121</v>
      </c>
      <c r="P70" s="203"/>
      <c r="Q70" s="203"/>
      <c r="R70" s="202" t="s">
        <v>122</v>
      </c>
      <c r="S70" s="203"/>
      <c r="T70" s="203"/>
      <c r="U70" s="202" t="s">
        <v>123</v>
      </c>
      <c r="V70" s="203"/>
      <c r="W70" s="203"/>
      <c r="X70" s="202" t="s">
        <v>124</v>
      </c>
      <c r="Y70" s="203"/>
      <c r="Z70" s="203"/>
      <c r="AA70" s="202" t="s">
        <v>126</v>
      </c>
      <c r="AB70" s="212" t="s">
        <v>127</v>
      </c>
    </row>
    <row r="71" spans="2:28" x14ac:dyDescent="0.2">
      <c r="B71" s="202"/>
      <c r="C71" s="203"/>
      <c r="D71" s="203"/>
      <c r="E71" s="203"/>
      <c r="F71" s="203"/>
      <c r="G71" s="203"/>
      <c r="H71" s="203"/>
      <c r="I71" s="148"/>
      <c r="J71" s="148"/>
      <c r="K71" s="148"/>
      <c r="L71" s="148"/>
      <c r="M71" s="148"/>
      <c r="N71" s="148"/>
      <c r="O71" s="148"/>
      <c r="P71" s="148"/>
      <c r="Q71" s="148"/>
      <c r="R71" s="148"/>
      <c r="S71" s="148"/>
      <c r="T71" s="148"/>
      <c r="U71" s="148"/>
      <c r="V71" s="148"/>
      <c r="W71" s="148"/>
      <c r="X71" s="148"/>
      <c r="Y71" s="148"/>
      <c r="Z71" s="148"/>
      <c r="AA71" s="203"/>
      <c r="AB71" s="213"/>
    </row>
    <row r="72" spans="2:28" s="111" customFormat="1" x14ac:dyDescent="0.2">
      <c r="B72" s="80" t="s">
        <v>128</v>
      </c>
      <c r="C72" s="80" t="s">
        <v>129</v>
      </c>
      <c r="D72" s="80" t="s">
        <v>38</v>
      </c>
      <c r="E72" s="80" t="s">
        <v>130</v>
      </c>
      <c r="F72" s="80" t="s">
        <v>131</v>
      </c>
      <c r="G72" s="81" t="s">
        <v>132</v>
      </c>
      <c r="H72" s="82" t="s">
        <v>133</v>
      </c>
      <c r="I72" s="83" t="s">
        <v>134</v>
      </c>
      <c r="J72" s="83" t="s">
        <v>135</v>
      </c>
      <c r="K72" s="83" t="s">
        <v>133</v>
      </c>
      <c r="L72" s="83" t="s">
        <v>134</v>
      </c>
      <c r="M72" s="83" t="s">
        <v>135</v>
      </c>
      <c r="N72" s="83" t="s">
        <v>133</v>
      </c>
      <c r="O72" s="83" t="s">
        <v>134</v>
      </c>
      <c r="P72" s="83" t="s">
        <v>135</v>
      </c>
      <c r="Q72" s="83" t="s">
        <v>133</v>
      </c>
      <c r="R72" s="83" t="s">
        <v>134</v>
      </c>
      <c r="S72" s="83" t="s">
        <v>135</v>
      </c>
      <c r="T72" s="83" t="s">
        <v>133</v>
      </c>
      <c r="U72" s="83" t="s">
        <v>134</v>
      </c>
      <c r="V72" s="83" t="s">
        <v>135</v>
      </c>
      <c r="W72" s="83" t="s">
        <v>133</v>
      </c>
      <c r="X72" s="83" t="s">
        <v>134</v>
      </c>
      <c r="Y72" s="83" t="s">
        <v>135</v>
      </c>
      <c r="Z72" s="84" t="s">
        <v>133</v>
      </c>
      <c r="AA72" s="203"/>
      <c r="AB72" s="213"/>
    </row>
    <row r="73" spans="2:28" x14ac:dyDescent="0.2">
      <c r="B73" s="10" t="s">
        <v>59</v>
      </c>
      <c r="C73" s="10">
        <v>2</v>
      </c>
      <c r="D73" s="10">
        <v>8</v>
      </c>
      <c r="E73" s="10"/>
      <c r="F73" s="10" t="s">
        <v>140</v>
      </c>
      <c r="G73" s="10"/>
      <c r="H73" s="10">
        <v>2</v>
      </c>
      <c r="I73" s="12"/>
      <c r="J73" s="13">
        <v>8</v>
      </c>
      <c r="K73" s="12"/>
      <c r="L73" s="106"/>
      <c r="M73" s="107">
        <v>8</v>
      </c>
      <c r="N73" s="106"/>
      <c r="O73" s="12"/>
      <c r="P73" s="13"/>
      <c r="Q73" s="12"/>
      <c r="R73" s="106"/>
      <c r="S73" s="107"/>
      <c r="T73" s="106"/>
      <c r="U73" s="33"/>
      <c r="V73" s="34"/>
      <c r="W73" s="33"/>
      <c r="X73" s="14"/>
      <c r="Y73" s="10"/>
      <c r="Z73" s="10"/>
      <c r="AA73" s="37">
        <f>SUM(I73*J73)+(L73*M73)+(O73*P73)+(R73*S73)+(U73*V73)+(X73*Y73)</f>
        <v>0</v>
      </c>
      <c r="AB73" s="17" t="e">
        <f t="shared" ref="AB73:AB80" si="12">AVERAGE(K73,N73,Q73,T73,W73,Z73)</f>
        <v>#DIV/0!</v>
      </c>
    </row>
    <row r="74" spans="2:28" x14ac:dyDescent="0.2">
      <c r="B74" s="10" t="s">
        <v>60</v>
      </c>
      <c r="C74" s="10">
        <v>3</v>
      </c>
      <c r="D74" s="10">
        <v>8</v>
      </c>
      <c r="E74" s="10"/>
      <c r="F74" s="10" t="s">
        <v>140</v>
      </c>
      <c r="G74" s="10"/>
      <c r="H74" s="10">
        <v>1</v>
      </c>
      <c r="I74" s="12"/>
      <c r="J74" s="13">
        <v>8</v>
      </c>
      <c r="K74" s="12"/>
      <c r="L74" s="106"/>
      <c r="M74" s="107">
        <v>8</v>
      </c>
      <c r="N74" s="106"/>
      <c r="O74" s="12"/>
      <c r="P74" s="13">
        <v>8</v>
      </c>
      <c r="Q74" s="12"/>
      <c r="R74" s="106"/>
      <c r="S74" s="107"/>
      <c r="T74" s="106"/>
      <c r="U74" s="33"/>
      <c r="V74" s="33"/>
      <c r="W74" s="33"/>
      <c r="X74" s="14"/>
      <c r="Y74" s="10"/>
      <c r="Z74" s="10"/>
      <c r="AA74" s="38">
        <f t="shared" ref="AA74:AA80" si="13">SUM(I74*J74)+(L74*M74)+(O74*P74)+(R74*S74)+(U74*V74)+(X74*Y74)</f>
        <v>0</v>
      </c>
      <c r="AB74" s="17" t="e">
        <f t="shared" si="12"/>
        <v>#DIV/0!</v>
      </c>
    </row>
    <row r="75" spans="2:28" x14ac:dyDescent="0.2">
      <c r="B75" s="10" t="s">
        <v>61</v>
      </c>
      <c r="C75" s="10">
        <v>3</v>
      </c>
      <c r="D75" s="10">
        <v>10</v>
      </c>
      <c r="E75" s="10"/>
      <c r="F75" s="10" t="s">
        <v>140</v>
      </c>
      <c r="G75" s="10"/>
      <c r="H75" s="10">
        <v>2</v>
      </c>
      <c r="I75" s="12"/>
      <c r="J75" s="13">
        <v>10</v>
      </c>
      <c r="K75" s="12"/>
      <c r="L75" s="106"/>
      <c r="M75" s="107">
        <v>10</v>
      </c>
      <c r="N75" s="106"/>
      <c r="O75" s="12"/>
      <c r="P75" s="13">
        <v>10</v>
      </c>
      <c r="Q75" s="12"/>
      <c r="R75" s="106"/>
      <c r="S75" s="107">
        <v>10</v>
      </c>
      <c r="T75" s="106"/>
      <c r="U75" s="33"/>
      <c r="V75" s="33"/>
      <c r="W75" s="33"/>
      <c r="X75" s="14"/>
      <c r="Y75" s="10"/>
      <c r="Z75" s="10"/>
      <c r="AA75" s="38">
        <f t="shared" si="13"/>
        <v>0</v>
      </c>
      <c r="AB75" s="17" t="e">
        <f t="shared" si="12"/>
        <v>#DIV/0!</v>
      </c>
    </row>
    <row r="76" spans="2:28" x14ac:dyDescent="0.2">
      <c r="B76" s="10" t="s">
        <v>62</v>
      </c>
      <c r="C76" s="11">
        <v>2</v>
      </c>
      <c r="D76" s="11">
        <v>10</v>
      </c>
      <c r="E76" s="11"/>
      <c r="F76" s="10" t="s">
        <v>140</v>
      </c>
      <c r="G76" s="10"/>
      <c r="H76" s="11">
        <v>1</v>
      </c>
      <c r="I76" s="12"/>
      <c r="J76" s="13">
        <v>10</v>
      </c>
      <c r="K76" s="12"/>
      <c r="L76" s="106"/>
      <c r="M76" s="107">
        <v>10</v>
      </c>
      <c r="N76" s="106"/>
      <c r="O76" s="12"/>
      <c r="P76" s="13"/>
      <c r="Q76" s="12"/>
      <c r="R76" s="106"/>
      <c r="S76" s="107"/>
      <c r="T76" s="106"/>
      <c r="U76" s="35"/>
      <c r="V76" s="35"/>
      <c r="W76" s="35"/>
      <c r="X76" s="20"/>
      <c r="Y76" s="11"/>
      <c r="Z76" s="11"/>
      <c r="AA76" s="38">
        <f>SUM(I76*J76)+(L76*M76)+(O76*P76)+(R76*S76)+(U76*V76)+(X76*Y76)</f>
        <v>0</v>
      </c>
      <c r="AB76" s="17" t="e">
        <f>AVERAGE(K76,N76,Q76,T76,W76,Z76)</f>
        <v>#DIV/0!</v>
      </c>
    </row>
    <row r="77" spans="2:28" x14ac:dyDescent="0.2">
      <c r="B77" s="10" t="s">
        <v>63</v>
      </c>
      <c r="C77" s="10">
        <v>3</v>
      </c>
      <c r="D77" s="10">
        <v>12</v>
      </c>
      <c r="E77" s="10"/>
      <c r="F77" s="10" t="s">
        <v>140</v>
      </c>
      <c r="G77" s="10"/>
      <c r="H77" s="10">
        <v>2</v>
      </c>
      <c r="I77" s="12"/>
      <c r="J77" s="13">
        <v>12</v>
      </c>
      <c r="K77" s="12"/>
      <c r="L77" s="106"/>
      <c r="M77" s="107">
        <v>12</v>
      </c>
      <c r="N77" s="106"/>
      <c r="O77" s="12"/>
      <c r="P77" s="13">
        <v>12</v>
      </c>
      <c r="Q77" s="12"/>
      <c r="R77" s="106"/>
      <c r="S77" s="107"/>
      <c r="T77" s="106"/>
      <c r="U77" s="35"/>
      <c r="V77" s="35"/>
      <c r="W77" s="35"/>
      <c r="X77" s="20"/>
      <c r="Y77" s="11"/>
      <c r="Z77" s="11"/>
      <c r="AA77" s="38">
        <f>SUM(I77*J77)+(L77*M77)+(O77*P77)+(R77*S77)+(U77*V77)+(X77*Y77)</f>
        <v>0</v>
      </c>
      <c r="AB77" s="17" t="e">
        <f>AVERAGE(K77,N77,Q77,T77,W77,Z77)</f>
        <v>#DIV/0!</v>
      </c>
    </row>
    <row r="78" spans="2:28" x14ac:dyDescent="0.2">
      <c r="B78" s="10" t="s">
        <v>64</v>
      </c>
      <c r="C78" s="11">
        <v>3</v>
      </c>
      <c r="D78" s="11">
        <v>12</v>
      </c>
      <c r="E78" s="11"/>
      <c r="F78" s="10" t="s">
        <v>140</v>
      </c>
      <c r="G78" s="10"/>
      <c r="H78" s="11">
        <v>1</v>
      </c>
      <c r="I78" s="12"/>
      <c r="J78" s="13">
        <v>12</v>
      </c>
      <c r="K78" s="12"/>
      <c r="L78" s="106"/>
      <c r="M78" s="107">
        <v>12</v>
      </c>
      <c r="N78" s="106"/>
      <c r="O78" s="12"/>
      <c r="P78" s="13">
        <v>12</v>
      </c>
      <c r="Q78" s="12"/>
      <c r="R78" s="106"/>
      <c r="S78" s="107">
        <v>12</v>
      </c>
      <c r="T78" s="106"/>
      <c r="U78" s="35"/>
      <c r="V78" s="35"/>
      <c r="W78" s="35"/>
      <c r="X78" s="20"/>
      <c r="Y78" s="11"/>
      <c r="Z78" s="11"/>
      <c r="AA78" s="38">
        <f>SUM(I78*J78)+(L78*M78)+(O78*P78)+(R78*S78)+(U78*V78)+(X78*Y78)</f>
        <v>0</v>
      </c>
      <c r="AB78" s="17" t="e">
        <f>AVERAGE(K78,N78,Q78,T78,W78,Z78)</f>
        <v>#DIV/0!</v>
      </c>
    </row>
    <row r="79" spans="2:28" hidden="1" x14ac:dyDescent="0.2">
      <c r="B79" s="10" t="s">
        <v>137</v>
      </c>
      <c r="C79" s="11"/>
      <c r="D79" s="11"/>
      <c r="E79" s="11"/>
      <c r="F79" s="11"/>
      <c r="G79" s="11"/>
      <c r="H79" s="11"/>
      <c r="I79" s="12"/>
      <c r="J79" s="13"/>
      <c r="K79" s="12"/>
      <c r="L79" s="106"/>
      <c r="M79" s="107"/>
      <c r="N79" s="106"/>
      <c r="O79" s="12"/>
      <c r="P79" s="13"/>
      <c r="Q79" s="12"/>
      <c r="R79" s="106"/>
      <c r="S79" s="107"/>
      <c r="T79" s="106"/>
      <c r="U79" s="35"/>
      <c r="V79" s="35"/>
      <c r="W79" s="35"/>
      <c r="X79" s="20"/>
      <c r="Y79" s="11"/>
      <c r="Z79" s="11"/>
      <c r="AA79" s="38">
        <f>SUM(I79*J79)+(L79*M79)+(O79*P79)+(R79*S79)+(U79*V79)+(X79*Y79)</f>
        <v>0</v>
      </c>
      <c r="AB79" s="17" t="e">
        <f>AVERAGE(K79,N79,Q79,T79,W79,Z79)</f>
        <v>#DIV/0!</v>
      </c>
    </row>
    <row r="80" spans="2:28" hidden="1" x14ac:dyDescent="0.2">
      <c r="B80" s="10" t="s">
        <v>139</v>
      </c>
      <c r="C80" s="11"/>
      <c r="D80" s="11"/>
      <c r="E80" s="11"/>
      <c r="F80" s="11"/>
      <c r="G80" s="11"/>
      <c r="H80" s="11"/>
      <c r="I80" s="12"/>
      <c r="J80" s="13"/>
      <c r="K80" s="12"/>
      <c r="L80" s="106"/>
      <c r="M80" s="107"/>
      <c r="N80" s="106"/>
      <c r="O80" s="12"/>
      <c r="P80" s="13"/>
      <c r="Q80" s="12"/>
      <c r="R80" s="106"/>
      <c r="S80" s="107"/>
      <c r="T80" s="106"/>
      <c r="U80" s="35"/>
      <c r="V80" s="35"/>
      <c r="W80" s="35"/>
      <c r="X80" s="20"/>
      <c r="Y80" s="11"/>
      <c r="Z80" s="11"/>
      <c r="AA80" s="39">
        <f t="shared" si="13"/>
        <v>0</v>
      </c>
      <c r="AB80" s="17" t="e">
        <f t="shared" si="12"/>
        <v>#DIV/0!</v>
      </c>
    </row>
    <row r="81" spans="2:28" hidden="1" x14ac:dyDescent="0.2">
      <c r="B81" s="202">
        <f>'Exercise Selection'!A9</f>
        <v>0</v>
      </c>
      <c r="C81" s="203"/>
      <c r="D81" s="203"/>
      <c r="E81" s="203"/>
      <c r="F81" s="203"/>
      <c r="G81" s="203"/>
      <c r="H81" s="203"/>
      <c r="I81" s="202" t="s">
        <v>119</v>
      </c>
      <c r="J81" s="203"/>
      <c r="K81" s="203"/>
      <c r="L81" s="202" t="s">
        <v>120</v>
      </c>
      <c r="M81" s="203"/>
      <c r="N81" s="203"/>
      <c r="O81" s="202" t="s">
        <v>121</v>
      </c>
      <c r="P81" s="203"/>
      <c r="Q81" s="203"/>
      <c r="R81" s="202" t="s">
        <v>122</v>
      </c>
      <c r="S81" s="203"/>
      <c r="T81" s="203"/>
      <c r="U81" s="202" t="s">
        <v>123</v>
      </c>
      <c r="V81" s="203"/>
      <c r="W81" s="203"/>
      <c r="X81" s="202" t="s">
        <v>124</v>
      </c>
      <c r="Y81" s="203"/>
      <c r="Z81" s="203"/>
      <c r="AA81" s="202" t="s">
        <v>126</v>
      </c>
      <c r="AB81" s="202" t="s">
        <v>127</v>
      </c>
    </row>
    <row r="82" spans="2:28" hidden="1" x14ac:dyDescent="0.2">
      <c r="B82" s="202"/>
      <c r="C82" s="203"/>
      <c r="D82" s="203"/>
      <c r="E82" s="203"/>
      <c r="F82" s="203"/>
      <c r="G82" s="203"/>
      <c r="H82" s="203"/>
      <c r="I82" s="148"/>
      <c r="J82" s="148"/>
      <c r="K82" s="148"/>
      <c r="L82" s="148"/>
      <c r="M82" s="148"/>
      <c r="N82" s="148"/>
      <c r="O82" s="148"/>
      <c r="P82" s="148"/>
      <c r="Q82" s="148"/>
      <c r="R82" s="148"/>
      <c r="S82" s="148"/>
      <c r="T82" s="148"/>
      <c r="U82" s="148"/>
      <c r="V82" s="148"/>
      <c r="W82" s="148"/>
      <c r="X82" s="148"/>
      <c r="Y82" s="148"/>
      <c r="Z82" s="148"/>
      <c r="AA82" s="203"/>
      <c r="AB82" s="203"/>
    </row>
    <row r="83" spans="2:28" s="111" customFormat="1" hidden="1" x14ac:dyDescent="0.2">
      <c r="B83" s="80" t="s">
        <v>128</v>
      </c>
      <c r="C83" s="80" t="s">
        <v>129</v>
      </c>
      <c r="D83" s="80" t="s">
        <v>38</v>
      </c>
      <c r="E83" s="80" t="s">
        <v>130</v>
      </c>
      <c r="F83" s="80" t="s">
        <v>131</v>
      </c>
      <c r="G83" s="81" t="s">
        <v>132</v>
      </c>
      <c r="H83" s="82" t="s">
        <v>133</v>
      </c>
      <c r="I83" s="80" t="s">
        <v>134</v>
      </c>
      <c r="J83" s="80" t="s">
        <v>135</v>
      </c>
      <c r="K83" s="80" t="s">
        <v>133</v>
      </c>
      <c r="L83" s="80" t="s">
        <v>134</v>
      </c>
      <c r="M83" s="80" t="s">
        <v>135</v>
      </c>
      <c r="N83" s="80" t="s">
        <v>133</v>
      </c>
      <c r="O83" s="80" t="s">
        <v>134</v>
      </c>
      <c r="P83" s="80" t="s">
        <v>135</v>
      </c>
      <c r="Q83" s="80" t="s">
        <v>133</v>
      </c>
      <c r="R83" s="80" t="s">
        <v>134</v>
      </c>
      <c r="S83" s="80" t="s">
        <v>135</v>
      </c>
      <c r="T83" s="80" t="s">
        <v>133</v>
      </c>
      <c r="U83" s="80" t="s">
        <v>134</v>
      </c>
      <c r="V83" s="80" t="s">
        <v>135</v>
      </c>
      <c r="W83" s="80" t="s">
        <v>133</v>
      </c>
      <c r="X83" s="80" t="s">
        <v>134</v>
      </c>
      <c r="Y83" s="80" t="s">
        <v>135</v>
      </c>
      <c r="Z83" s="82" t="s">
        <v>133</v>
      </c>
      <c r="AA83" s="203"/>
      <c r="AB83" s="203"/>
    </row>
    <row r="84" spans="2:28" hidden="1" x14ac:dyDescent="0.2">
      <c r="B84" s="10" t="s">
        <v>59</v>
      </c>
      <c r="C84" s="10"/>
      <c r="D84" s="10"/>
      <c r="E84" s="10"/>
      <c r="F84" s="10"/>
      <c r="G84" s="10"/>
      <c r="H84" s="10"/>
      <c r="I84" s="12"/>
      <c r="J84" s="13"/>
      <c r="K84" s="12"/>
      <c r="L84" s="106"/>
      <c r="M84" s="107"/>
      <c r="N84" s="106"/>
      <c r="O84" s="12"/>
      <c r="P84" s="13"/>
      <c r="Q84" s="12"/>
      <c r="R84" s="106"/>
      <c r="S84" s="107"/>
      <c r="T84" s="106"/>
      <c r="U84" s="12"/>
      <c r="V84" s="13"/>
      <c r="W84" s="12"/>
      <c r="X84" s="14"/>
      <c r="Y84" s="10"/>
      <c r="Z84" s="10"/>
      <c r="AA84" s="19">
        <f>SUM(I84*J84)+(L84*M84)+(O84*P84)+(R84*S84)+(U84*V84)+(X84*Y84)</f>
        <v>0</v>
      </c>
      <c r="AB84" s="17" t="e">
        <f t="shared" ref="AB84:AB91" si="14">AVERAGE(K84,N84,Q84,T84,W84,Z84)</f>
        <v>#DIV/0!</v>
      </c>
    </row>
    <row r="85" spans="2:28" hidden="1" x14ac:dyDescent="0.2">
      <c r="B85" s="10" t="s">
        <v>60</v>
      </c>
      <c r="C85" s="10"/>
      <c r="D85" s="10"/>
      <c r="E85" s="10"/>
      <c r="F85" s="10"/>
      <c r="G85" s="10"/>
      <c r="H85" s="10"/>
      <c r="I85" s="12"/>
      <c r="J85" s="13"/>
      <c r="K85" s="12"/>
      <c r="L85" s="106"/>
      <c r="M85" s="107"/>
      <c r="N85" s="106"/>
      <c r="O85" s="12"/>
      <c r="P85" s="13"/>
      <c r="Q85" s="12"/>
      <c r="R85" s="106"/>
      <c r="S85" s="107"/>
      <c r="T85" s="106"/>
      <c r="U85" s="12"/>
      <c r="V85" s="12"/>
      <c r="W85" s="12"/>
      <c r="X85" s="14"/>
      <c r="Y85" s="10"/>
      <c r="Z85" s="10"/>
      <c r="AA85" s="16">
        <f t="shared" ref="AA85:AA91" si="15">SUM(I85*J85)+(L85*M85)+(O85*P85)+(R85*S85)+(U85*V85)+(X85*Y85)</f>
        <v>0</v>
      </c>
      <c r="AB85" s="17" t="e">
        <f t="shared" si="14"/>
        <v>#DIV/0!</v>
      </c>
    </row>
    <row r="86" spans="2:28" hidden="1" x14ac:dyDescent="0.2">
      <c r="B86" s="10" t="s">
        <v>61</v>
      </c>
      <c r="C86" s="10"/>
      <c r="D86" s="10"/>
      <c r="E86" s="10"/>
      <c r="F86" s="10"/>
      <c r="G86" s="10"/>
      <c r="H86" s="10"/>
      <c r="I86" s="12"/>
      <c r="J86" s="13"/>
      <c r="K86" s="12"/>
      <c r="L86" s="106"/>
      <c r="M86" s="107"/>
      <c r="N86" s="106"/>
      <c r="O86" s="12"/>
      <c r="P86" s="13"/>
      <c r="Q86" s="12"/>
      <c r="R86" s="106"/>
      <c r="S86" s="107"/>
      <c r="T86" s="106"/>
      <c r="U86" s="12"/>
      <c r="V86" s="12"/>
      <c r="W86" s="12"/>
      <c r="X86" s="14"/>
      <c r="Y86" s="10"/>
      <c r="Z86" s="10"/>
      <c r="AA86" s="16">
        <f t="shared" si="15"/>
        <v>0</v>
      </c>
      <c r="AB86" s="17" t="e">
        <f t="shared" si="14"/>
        <v>#DIV/0!</v>
      </c>
    </row>
    <row r="87" spans="2:28" hidden="1" x14ac:dyDescent="0.2">
      <c r="B87" s="10" t="s">
        <v>62</v>
      </c>
      <c r="C87" s="10"/>
      <c r="D87" s="10"/>
      <c r="E87" s="10"/>
      <c r="F87" s="10"/>
      <c r="G87" s="10"/>
      <c r="H87" s="10"/>
      <c r="I87" s="12"/>
      <c r="J87" s="13"/>
      <c r="K87" s="12"/>
      <c r="L87" s="106"/>
      <c r="M87" s="107"/>
      <c r="N87" s="106"/>
      <c r="O87" s="12"/>
      <c r="P87" s="13"/>
      <c r="Q87" s="12"/>
      <c r="R87" s="106"/>
      <c r="S87" s="107"/>
      <c r="T87" s="106"/>
      <c r="U87" s="12"/>
      <c r="V87" s="12"/>
      <c r="W87" s="12"/>
      <c r="X87" s="14"/>
      <c r="Y87" s="10"/>
      <c r="Z87" s="10"/>
      <c r="AA87" s="16">
        <f>SUM(I87*J87)+(L87*M87)+(O87*P87)+(R87*S87)+(U87*V87)+(X87*Y87)</f>
        <v>0</v>
      </c>
      <c r="AB87" s="17" t="e">
        <f>AVERAGE(K87,N87,Q87,T87,W87,Z87)</f>
        <v>#DIV/0!</v>
      </c>
    </row>
    <row r="88" spans="2:28" hidden="1" x14ac:dyDescent="0.2">
      <c r="B88" s="10" t="s">
        <v>63</v>
      </c>
      <c r="C88" s="10"/>
      <c r="D88" s="10"/>
      <c r="E88" s="10"/>
      <c r="F88" s="10"/>
      <c r="G88" s="10"/>
      <c r="H88" s="10"/>
      <c r="I88" s="12"/>
      <c r="J88" s="13"/>
      <c r="K88" s="12"/>
      <c r="L88" s="106"/>
      <c r="M88" s="107"/>
      <c r="N88" s="106"/>
      <c r="O88" s="12"/>
      <c r="P88" s="13"/>
      <c r="Q88" s="12"/>
      <c r="R88" s="106"/>
      <c r="S88" s="107"/>
      <c r="T88" s="106"/>
      <c r="U88" s="12"/>
      <c r="V88" s="12"/>
      <c r="W88" s="12"/>
      <c r="X88" s="14"/>
      <c r="Y88" s="10"/>
      <c r="Z88" s="10"/>
      <c r="AA88" s="16">
        <f>SUM(I88*J88)+(L88*M88)+(O88*P88)+(R88*S88)+(U88*V88)+(X88*Y88)</f>
        <v>0</v>
      </c>
      <c r="AB88" s="17" t="e">
        <f>AVERAGE(K88,N88,Q88,T88,W88,Z88)</f>
        <v>#DIV/0!</v>
      </c>
    </row>
    <row r="89" spans="2:28" hidden="1" x14ac:dyDescent="0.2">
      <c r="B89" s="10" t="s">
        <v>64</v>
      </c>
      <c r="C89" s="10"/>
      <c r="D89" s="10"/>
      <c r="E89" s="10"/>
      <c r="F89" s="10"/>
      <c r="G89" s="10"/>
      <c r="H89" s="10"/>
      <c r="I89" s="12"/>
      <c r="J89" s="13"/>
      <c r="K89" s="12"/>
      <c r="L89" s="106"/>
      <c r="M89" s="107"/>
      <c r="N89" s="106"/>
      <c r="O89" s="12"/>
      <c r="P89" s="13"/>
      <c r="Q89" s="12"/>
      <c r="R89" s="106"/>
      <c r="S89" s="107"/>
      <c r="T89" s="106"/>
      <c r="U89" s="12"/>
      <c r="V89" s="12"/>
      <c r="W89" s="12"/>
      <c r="X89" s="14"/>
      <c r="Y89" s="10"/>
      <c r="Z89" s="10"/>
      <c r="AA89" s="16">
        <f>SUM(I89*J89)+(L89*M89)+(O89*P89)+(R89*S89)+(U89*V89)+(X89*Y89)</f>
        <v>0</v>
      </c>
      <c r="AB89" s="17" t="e">
        <f>AVERAGE(K89,N89,Q89,T89,W89,Z89)</f>
        <v>#DIV/0!</v>
      </c>
    </row>
    <row r="90" spans="2:28" hidden="1" x14ac:dyDescent="0.2">
      <c r="B90" s="10" t="s">
        <v>137</v>
      </c>
      <c r="C90" s="10"/>
      <c r="D90" s="10"/>
      <c r="E90" s="10"/>
      <c r="F90" s="10"/>
      <c r="G90" s="10"/>
      <c r="H90" s="10"/>
      <c r="I90" s="12"/>
      <c r="J90" s="13"/>
      <c r="K90" s="12"/>
      <c r="L90" s="106"/>
      <c r="M90" s="107"/>
      <c r="N90" s="106"/>
      <c r="O90" s="12"/>
      <c r="P90" s="13"/>
      <c r="Q90" s="12"/>
      <c r="R90" s="106"/>
      <c r="S90" s="107"/>
      <c r="T90" s="106"/>
      <c r="U90" s="12"/>
      <c r="V90" s="12"/>
      <c r="W90" s="12"/>
      <c r="X90" s="14"/>
      <c r="Y90" s="10"/>
      <c r="Z90" s="10"/>
      <c r="AA90" s="16">
        <f>SUM(I90*J90)+(L90*M90)+(O90*P90)+(R90*S90)+(U90*V90)+(X90*Y90)</f>
        <v>0</v>
      </c>
      <c r="AB90" s="17" t="e">
        <f>AVERAGE(K90,N90,Q90,T90,W90,Z90)</f>
        <v>#DIV/0!</v>
      </c>
    </row>
    <row r="91" spans="2:28" hidden="1" x14ac:dyDescent="0.2">
      <c r="B91" s="10" t="s">
        <v>139</v>
      </c>
      <c r="C91" s="10"/>
      <c r="D91" s="10"/>
      <c r="E91" s="10"/>
      <c r="F91" s="10"/>
      <c r="G91" s="10"/>
      <c r="H91" s="10"/>
      <c r="I91" s="12"/>
      <c r="J91" s="13"/>
      <c r="K91" s="12"/>
      <c r="L91" s="106"/>
      <c r="M91" s="107"/>
      <c r="N91" s="106"/>
      <c r="O91" s="12"/>
      <c r="P91" s="13"/>
      <c r="Q91" s="12"/>
      <c r="R91" s="106"/>
      <c r="S91" s="107"/>
      <c r="T91" s="106"/>
      <c r="U91" s="12"/>
      <c r="V91" s="12"/>
      <c r="W91" s="12"/>
      <c r="X91" s="14"/>
      <c r="Y91" s="10"/>
      <c r="Z91" s="10"/>
      <c r="AA91" s="16">
        <f t="shared" si="15"/>
        <v>0</v>
      </c>
      <c r="AB91" s="17" t="e">
        <f t="shared" si="14"/>
        <v>#DIV/0!</v>
      </c>
    </row>
    <row r="92" spans="2:28" x14ac:dyDescent="0.2">
      <c r="B92" s="125"/>
      <c r="C92" s="125"/>
      <c r="D92" s="125"/>
      <c r="E92" s="125"/>
      <c r="F92" s="125"/>
      <c r="G92" s="125"/>
      <c r="H92" s="125"/>
      <c r="I92" s="125"/>
      <c r="J92" s="126"/>
      <c r="K92" s="125"/>
      <c r="L92" s="125"/>
      <c r="M92" s="126"/>
      <c r="N92" s="125"/>
      <c r="O92" s="125"/>
      <c r="P92" s="126"/>
      <c r="Q92" s="125"/>
      <c r="R92" s="125"/>
      <c r="S92" s="126"/>
      <c r="T92" s="125"/>
      <c r="U92" s="125"/>
      <c r="V92" s="125"/>
      <c r="W92" s="125"/>
      <c r="X92" s="125"/>
      <c r="Y92" s="125"/>
      <c r="Z92" s="125"/>
      <c r="AA92" s="125"/>
      <c r="AB92" s="125"/>
    </row>
    <row r="93" spans="2:28" x14ac:dyDescent="0.2">
      <c r="B93" s="208" t="s">
        <v>142</v>
      </c>
      <c r="C93" s="208"/>
      <c r="D93" s="208"/>
      <c r="E93" s="208"/>
      <c r="F93" s="208"/>
      <c r="G93" s="208"/>
      <c r="H93" s="208"/>
      <c r="I93" s="206">
        <f>SUM(AA7+AA18+AA29+AA40+AA51+AA62+AA73+AA84)</f>
        <v>3464</v>
      </c>
      <c r="J93" s="207"/>
      <c r="K93" s="207"/>
      <c r="L93" s="208" t="s">
        <v>143</v>
      </c>
      <c r="M93" s="208"/>
      <c r="N93" s="208"/>
      <c r="O93" s="208"/>
      <c r="P93" s="208"/>
      <c r="Q93" s="206">
        <f>SUM(AA8+AA19+AA30+AA41+AA52+AA63+AA74+AA85)</f>
        <v>5196</v>
      </c>
      <c r="R93" s="207"/>
      <c r="S93" s="207"/>
      <c r="T93" s="216" t="s">
        <v>144</v>
      </c>
      <c r="U93" s="216"/>
      <c r="V93" s="216"/>
      <c r="W93" s="216"/>
      <c r="X93" s="216"/>
      <c r="Y93" s="216"/>
      <c r="Z93" s="216"/>
      <c r="AA93" s="216"/>
      <c r="AB93" s="216"/>
    </row>
    <row r="94" spans="2:28" x14ac:dyDescent="0.2">
      <c r="B94" s="208" t="s">
        <v>145</v>
      </c>
      <c r="C94" s="208"/>
      <c r="D94" s="208"/>
      <c r="E94" s="208"/>
      <c r="F94" s="208"/>
      <c r="G94" s="208"/>
      <c r="H94" s="208"/>
      <c r="I94" s="206">
        <f>SUM(AA9+AA20+AA31+AA42+AA53+AA64+AA75+AA86)</f>
        <v>6810</v>
      </c>
      <c r="J94" s="207"/>
      <c r="K94" s="207"/>
      <c r="L94" s="208" t="s">
        <v>146</v>
      </c>
      <c r="M94" s="208"/>
      <c r="N94" s="208"/>
      <c r="O94" s="208"/>
      <c r="P94" s="208"/>
      <c r="Q94" s="206">
        <f>SUM(AA10+AA21+AA32+AA43+AA54+AA65+AA76+AA87)</f>
        <v>3520</v>
      </c>
      <c r="R94" s="207"/>
      <c r="S94" s="207"/>
      <c r="T94" s="206">
        <f>SUM(I93+Q93+I94+Q94+I95+Q95+I96+Q96)</f>
        <v>30710</v>
      </c>
      <c r="U94" s="207"/>
      <c r="V94" s="207"/>
      <c r="W94" s="207"/>
      <c r="X94" s="207"/>
      <c r="Y94" s="207"/>
      <c r="Z94" s="207"/>
      <c r="AA94" s="207"/>
      <c r="AB94" s="207"/>
    </row>
    <row r="95" spans="2:28" x14ac:dyDescent="0.2">
      <c r="B95" s="208" t="s">
        <v>147</v>
      </c>
      <c r="C95" s="208"/>
      <c r="D95" s="208"/>
      <c r="E95" s="208"/>
      <c r="F95" s="208"/>
      <c r="G95" s="208"/>
      <c r="H95" s="208"/>
      <c r="I95" s="206">
        <f>SUM(AA11+AA22+AA33+AA44+AA55+AA66+AA77+AA88)</f>
        <v>4870</v>
      </c>
      <c r="J95" s="207"/>
      <c r="K95" s="207"/>
      <c r="L95" s="208" t="s">
        <v>148</v>
      </c>
      <c r="M95" s="208"/>
      <c r="N95" s="208"/>
      <c r="O95" s="208"/>
      <c r="P95" s="208"/>
      <c r="Q95" s="206">
        <f>SUM(AA12+AA23+AA34+AA45+AA56+AA67+AA78+AA89)</f>
        <v>6850</v>
      </c>
      <c r="R95" s="207"/>
      <c r="S95" s="207"/>
      <c r="T95" s="149"/>
      <c r="U95" s="149"/>
      <c r="V95" s="149"/>
      <c r="W95" s="149"/>
      <c r="X95" s="149"/>
      <c r="Y95" s="149"/>
      <c r="Z95" s="149"/>
      <c r="AA95" s="149"/>
      <c r="AB95" s="149"/>
    </row>
    <row r="96" spans="2:28" x14ac:dyDescent="0.2">
      <c r="B96" s="208" t="s">
        <v>149</v>
      </c>
      <c r="C96" s="208"/>
      <c r="D96" s="208"/>
      <c r="E96" s="208"/>
      <c r="F96" s="208"/>
      <c r="G96" s="208"/>
      <c r="H96" s="208"/>
      <c r="I96" s="206">
        <f>SUM(AA13+AA24+AA35+AA46+AA57+AA68+AA79+AA90)</f>
        <v>0</v>
      </c>
      <c r="J96" s="207"/>
      <c r="K96" s="207"/>
      <c r="L96" s="208" t="s">
        <v>150</v>
      </c>
      <c r="M96" s="208"/>
      <c r="N96" s="208"/>
      <c r="O96" s="208"/>
      <c r="P96" s="208"/>
      <c r="Q96" s="206">
        <f>SUM(AA14+AA25+AA36+AA47+AA58+AA69+AA80+AA91)</f>
        <v>0</v>
      </c>
      <c r="R96" s="207"/>
      <c r="S96" s="207"/>
      <c r="T96" s="149"/>
      <c r="U96" s="149"/>
      <c r="V96" s="149"/>
      <c r="W96" s="149"/>
      <c r="X96" s="149"/>
      <c r="Y96" s="149"/>
      <c r="Z96" s="149"/>
      <c r="AA96" s="149"/>
      <c r="AB96" s="149"/>
    </row>
    <row r="97" spans="1:28" ht="9" customHeight="1" x14ac:dyDescent="0.2">
      <c r="B97" s="211" t="str">
        <f>'Exercise Selection'!B1</f>
        <v>Session 2 Wednesday</v>
      </c>
      <c r="C97" s="211"/>
      <c r="D97" s="211"/>
      <c r="E97" s="211"/>
      <c r="F97" s="211"/>
      <c r="G97" s="211"/>
      <c r="H97" s="211"/>
      <c r="I97" s="211"/>
      <c r="J97" s="211"/>
      <c r="K97" s="211"/>
      <c r="L97" s="211"/>
      <c r="M97" s="211"/>
      <c r="N97" s="211"/>
      <c r="O97" s="211"/>
      <c r="P97" s="211"/>
      <c r="Q97" s="211"/>
      <c r="R97" s="211"/>
      <c r="S97" s="211"/>
      <c r="T97" s="211"/>
      <c r="U97" s="211"/>
      <c r="V97" s="211"/>
      <c r="W97" s="211"/>
      <c r="X97" s="211"/>
      <c r="Y97" s="211"/>
      <c r="Z97" s="211"/>
      <c r="AA97" s="211"/>
      <c r="AB97" s="211"/>
    </row>
    <row r="98" spans="1:28" ht="9" customHeight="1" x14ac:dyDescent="0.2">
      <c r="B98" s="211"/>
      <c r="C98" s="211"/>
      <c r="D98" s="211"/>
      <c r="E98" s="211"/>
      <c r="F98" s="211"/>
      <c r="G98" s="211"/>
      <c r="H98" s="211"/>
      <c r="I98" s="211"/>
      <c r="J98" s="211"/>
      <c r="K98" s="211"/>
      <c r="L98" s="211"/>
      <c r="M98" s="211"/>
      <c r="N98" s="211"/>
      <c r="O98" s="211"/>
      <c r="P98" s="211"/>
      <c r="Q98" s="211"/>
      <c r="R98" s="211"/>
      <c r="S98" s="211"/>
      <c r="T98" s="211"/>
      <c r="U98" s="211"/>
      <c r="V98" s="211"/>
      <c r="W98" s="211"/>
      <c r="X98" s="211"/>
      <c r="Y98" s="211"/>
      <c r="Z98" s="211"/>
      <c r="AA98" s="211"/>
      <c r="AB98" s="211"/>
    </row>
    <row r="99" spans="1:28" s="23" customFormat="1" ht="9" customHeight="1" x14ac:dyDescent="0.2">
      <c r="B99" s="211"/>
      <c r="C99" s="211"/>
      <c r="D99" s="211"/>
      <c r="E99" s="211"/>
      <c r="F99" s="211"/>
      <c r="G99" s="211"/>
      <c r="H99" s="211"/>
      <c r="I99" s="211"/>
      <c r="J99" s="211"/>
      <c r="K99" s="211"/>
      <c r="L99" s="211"/>
      <c r="M99" s="211"/>
      <c r="N99" s="211"/>
      <c r="O99" s="211"/>
      <c r="P99" s="211"/>
      <c r="Q99" s="211"/>
      <c r="R99" s="211"/>
      <c r="S99" s="211"/>
      <c r="T99" s="211"/>
      <c r="U99" s="211"/>
      <c r="V99" s="211"/>
      <c r="W99" s="211"/>
      <c r="X99" s="211"/>
      <c r="Y99" s="211"/>
      <c r="Z99" s="211"/>
      <c r="AA99" s="211"/>
      <c r="AB99" s="211"/>
    </row>
    <row r="100" spans="1:28" s="23" customFormat="1" x14ac:dyDescent="0.2">
      <c r="B100" s="214" t="str">
        <f>'Exercise Selection'!B2</f>
        <v>(A) 3 Second Pause ^Bench</v>
      </c>
      <c r="C100" s="215"/>
      <c r="D100" s="215"/>
      <c r="E100" s="215"/>
      <c r="F100" s="215"/>
      <c r="G100" s="215"/>
      <c r="H100" s="215"/>
      <c r="I100" s="202" t="s">
        <v>119</v>
      </c>
      <c r="J100" s="203"/>
      <c r="K100" s="203"/>
      <c r="L100" s="202" t="s">
        <v>120</v>
      </c>
      <c r="M100" s="203"/>
      <c r="N100" s="203"/>
      <c r="O100" s="202" t="s">
        <v>121</v>
      </c>
      <c r="P100" s="203"/>
      <c r="Q100" s="203"/>
      <c r="R100" s="202" t="s">
        <v>122</v>
      </c>
      <c r="S100" s="203"/>
      <c r="T100" s="203"/>
      <c r="U100" s="202" t="s">
        <v>123</v>
      </c>
      <c r="V100" s="203"/>
      <c r="W100" s="203"/>
      <c r="X100" s="202" t="s">
        <v>124</v>
      </c>
      <c r="Y100" s="203"/>
      <c r="Z100" s="203"/>
      <c r="AA100" s="148" t="s">
        <v>126</v>
      </c>
      <c r="AB100" s="212" t="s">
        <v>127</v>
      </c>
    </row>
    <row r="101" spans="1:28" x14ac:dyDescent="0.2">
      <c r="A101" s="18" t="s">
        <v>151</v>
      </c>
      <c r="B101" s="204"/>
      <c r="C101" s="205"/>
      <c r="D101" s="205"/>
      <c r="E101" s="205"/>
      <c r="F101" s="205"/>
      <c r="G101" s="205"/>
      <c r="H101" s="205"/>
      <c r="I101" s="148"/>
      <c r="J101" s="148"/>
      <c r="K101" s="148"/>
      <c r="L101" s="148"/>
      <c r="M101" s="148"/>
      <c r="N101" s="148"/>
      <c r="O101" s="148"/>
      <c r="P101" s="148"/>
      <c r="Q101" s="148"/>
      <c r="R101" s="148"/>
      <c r="S101" s="148"/>
      <c r="T101" s="148"/>
      <c r="U101" s="148"/>
      <c r="V101" s="148"/>
      <c r="W101" s="148"/>
      <c r="X101" s="148"/>
      <c r="Y101" s="148"/>
      <c r="Z101" s="148"/>
      <c r="AA101" s="148"/>
      <c r="AB101" s="213"/>
    </row>
    <row r="102" spans="1:28" s="111" customFormat="1" x14ac:dyDescent="0.2">
      <c r="B102" s="89" t="s">
        <v>128</v>
      </c>
      <c r="C102" s="90" t="s">
        <v>129</v>
      </c>
      <c r="D102" s="90" t="s">
        <v>38</v>
      </c>
      <c r="E102" s="90" t="s">
        <v>130</v>
      </c>
      <c r="F102" s="90" t="s">
        <v>131</v>
      </c>
      <c r="G102" s="91" t="s">
        <v>132</v>
      </c>
      <c r="H102" s="81" t="s">
        <v>133</v>
      </c>
      <c r="I102" s="83" t="s">
        <v>134</v>
      </c>
      <c r="J102" s="83" t="s">
        <v>135</v>
      </c>
      <c r="K102" s="83" t="s">
        <v>133</v>
      </c>
      <c r="L102" s="83" t="s">
        <v>134</v>
      </c>
      <c r="M102" s="83" t="s">
        <v>135</v>
      </c>
      <c r="N102" s="83" t="s">
        <v>133</v>
      </c>
      <c r="O102" s="83" t="s">
        <v>134</v>
      </c>
      <c r="P102" s="83" t="s">
        <v>135</v>
      </c>
      <c r="Q102" s="83" t="s">
        <v>133</v>
      </c>
      <c r="R102" s="83" t="s">
        <v>134</v>
      </c>
      <c r="S102" s="83" t="s">
        <v>135</v>
      </c>
      <c r="T102" s="83" t="s">
        <v>133</v>
      </c>
      <c r="U102" s="83" t="s">
        <v>134</v>
      </c>
      <c r="V102" s="83" t="s">
        <v>135</v>
      </c>
      <c r="W102" s="83" t="s">
        <v>133</v>
      </c>
      <c r="X102" s="83" t="s">
        <v>134</v>
      </c>
      <c r="Y102" s="83" t="s">
        <v>135</v>
      </c>
      <c r="Z102" s="84" t="s">
        <v>133</v>
      </c>
      <c r="AA102" s="154"/>
      <c r="AB102" s="213"/>
    </row>
    <row r="103" spans="1:28" x14ac:dyDescent="0.2">
      <c r="B103" s="10" t="s">
        <v>59</v>
      </c>
      <c r="C103" s="10">
        <v>2</v>
      </c>
      <c r="D103" s="10">
        <v>4</v>
      </c>
      <c r="E103" s="10"/>
      <c r="F103" s="10" t="s">
        <v>136</v>
      </c>
      <c r="G103" s="10"/>
      <c r="H103" s="10">
        <v>3</v>
      </c>
      <c r="I103" s="12">
        <v>60</v>
      </c>
      <c r="J103" s="13">
        <v>4</v>
      </c>
      <c r="K103" s="12"/>
      <c r="L103" s="106">
        <v>65</v>
      </c>
      <c r="M103" s="107">
        <v>4</v>
      </c>
      <c r="N103" s="106"/>
      <c r="O103" s="12"/>
      <c r="P103" s="13"/>
      <c r="Q103" s="12"/>
      <c r="R103" s="106"/>
      <c r="S103" s="107"/>
      <c r="T103" s="106"/>
      <c r="U103" s="33"/>
      <c r="V103" s="34"/>
      <c r="W103" s="33"/>
      <c r="X103" s="14"/>
      <c r="Y103" s="10"/>
      <c r="Z103" s="10"/>
      <c r="AA103" s="37">
        <f>SUM(I103*J103)+(L103*M103)+(O103*P103)+(R103*S103)+(U103*V103)+(X103*Y103)</f>
        <v>500</v>
      </c>
      <c r="AB103" s="17" t="e">
        <f>AVERAGE(K103,N103,Q103,T103,W103,Z103)</f>
        <v>#DIV/0!</v>
      </c>
    </row>
    <row r="104" spans="1:28" x14ac:dyDescent="0.2">
      <c r="B104" s="10" t="s">
        <v>60</v>
      </c>
      <c r="C104" s="10">
        <v>3</v>
      </c>
      <c r="D104" s="10">
        <v>4</v>
      </c>
      <c r="E104" s="10"/>
      <c r="F104" s="10" t="s">
        <v>136</v>
      </c>
      <c r="G104" s="10"/>
      <c r="H104" s="10">
        <v>3</v>
      </c>
      <c r="I104" s="12">
        <v>65</v>
      </c>
      <c r="J104" s="13">
        <v>4</v>
      </c>
      <c r="K104" s="12"/>
      <c r="L104" s="106">
        <v>70</v>
      </c>
      <c r="M104" s="107">
        <v>4</v>
      </c>
      <c r="N104" s="106"/>
      <c r="O104" s="12">
        <v>70</v>
      </c>
      <c r="P104" s="13">
        <v>4</v>
      </c>
      <c r="Q104" s="12"/>
      <c r="R104" s="106"/>
      <c r="S104" s="107"/>
      <c r="T104" s="106"/>
      <c r="U104" s="33"/>
      <c r="V104" s="33"/>
      <c r="W104" s="33"/>
      <c r="X104" s="14"/>
      <c r="Y104" s="10"/>
      <c r="Z104" s="10"/>
      <c r="AA104" s="38">
        <f t="shared" ref="AA104:AA110" si="16">SUM(I104*J104)+(L104*M104)+(O104*P104)+(R104*S104)+(U104*V104)+(X104*Y104)</f>
        <v>820</v>
      </c>
      <c r="AB104" s="17" t="e">
        <f t="shared" ref="AB104:AB110" si="17">AVERAGE(K104,N104,Q104,T104,W104,Z104)</f>
        <v>#DIV/0!</v>
      </c>
    </row>
    <row r="105" spans="1:28" x14ac:dyDescent="0.2">
      <c r="B105" s="10" t="s">
        <v>61</v>
      </c>
      <c r="C105" s="10">
        <v>4</v>
      </c>
      <c r="D105" s="10">
        <v>4</v>
      </c>
      <c r="E105" s="10"/>
      <c r="F105" s="10" t="s">
        <v>136</v>
      </c>
      <c r="G105" s="10"/>
      <c r="H105" s="10">
        <v>3</v>
      </c>
      <c r="I105" s="12">
        <v>70</v>
      </c>
      <c r="J105" s="13">
        <v>4</v>
      </c>
      <c r="K105" s="12"/>
      <c r="L105" s="106">
        <v>70</v>
      </c>
      <c r="M105" s="107">
        <v>4</v>
      </c>
      <c r="N105" s="106"/>
      <c r="O105" s="12">
        <v>75</v>
      </c>
      <c r="P105" s="13">
        <v>4</v>
      </c>
      <c r="Q105" s="12"/>
      <c r="R105" s="106">
        <v>75</v>
      </c>
      <c r="S105" s="107">
        <v>4</v>
      </c>
      <c r="T105" s="106"/>
      <c r="U105" s="33"/>
      <c r="V105" s="33"/>
      <c r="W105" s="33"/>
      <c r="X105" s="14"/>
      <c r="Y105" s="10"/>
      <c r="Z105" s="10"/>
      <c r="AA105" s="38">
        <f t="shared" si="16"/>
        <v>1160</v>
      </c>
      <c r="AB105" s="17" t="e">
        <f t="shared" si="17"/>
        <v>#DIV/0!</v>
      </c>
    </row>
    <row r="106" spans="1:28" x14ac:dyDescent="0.2">
      <c r="B106" s="10" t="s">
        <v>62</v>
      </c>
      <c r="C106" s="11">
        <v>2</v>
      </c>
      <c r="D106" s="11">
        <v>3</v>
      </c>
      <c r="E106" s="11"/>
      <c r="F106" s="10" t="s">
        <v>136</v>
      </c>
      <c r="G106" s="10"/>
      <c r="H106" s="11">
        <v>3</v>
      </c>
      <c r="I106" s="12">
        <v>70</v>
      </c>
      <c r="J106" s="13">
        <v>3</v>
      </c>
      <c r="K106" s="12"/>
      <c r="L106" s="106">
        <v>75</v>
      </c>
      <c r="M106" s="107">
        <v>3</v>
      </c>
      <c r="N106" s="106"/>
      <c r="O106" s="12"/>
      <c r="P106" s="13"/>
      <c r="Q106" s="12"/>
      <c r="R106" s="106"/>
      <c r="S106" s="107"/>
      <c r="T106" s="106"/>
      <c r="U106" s="35"/>
      <c r="V106" s="35"/>
      <c r="W106" s="35"/>
      <c r="X106" s="20"/>
      <c r="Y106" s="11"/>
      <c r="Z106" s="11"/>
      <c r="AA106" s="38">
        <f>SUM(I106*J106)+(L106*M106)+(O106*P106)+(R106*S106)+(U106*V106)+(X106*Y106)</f>
        <v>435</v>
      </c>
      <c r="AB106" s="17" t="e">
        <f>AVERAGE(K106,N106,Q106,T106,W106,Z106)</f>
        <v>#DIV/0!</v>
      </c>
    </row>
    <row r="107" spans="1:28" x14ac:dyDescent="0.2">
      <c r="B107" s="10" t="s">
        <v>63</v>
      </c>
      <c r="C107" s="10">
        <v>3</v>
      </c>
      <c r="D107" s="10">
        <v>3</v>
      </c>
      <c r="E107" s="10"/>
      <c r="F107" s="10" t="s">
        <v>136</v>
      </c>
      <c r="G107" s="10"/>
      <c r="H107" s="10">
        <v>3</v>
      </c>
      <c r="I107" s="12">
        <v>75</v>
      </c>
      <c r="J107" s="13">
        <v>3</v>
      </c>
      <c r="K107" s="12"/>
      <c r="L107" s="106">
        <v>75</v>
      </c>
      <c r="M107" s="107">
        <v>3</v>
      </c>
      <c r="N107" s="106"/>
      <c r="O107" s="12">
        <v>75</v>
      </c>
      <c r="P107" s="13">
        <v>3</v>
      </c>
      <c r="Q107" s="12"/>
      <c r="R107" s="106"/>
      <c r="S107" s="107"/>
      <c r="T107" s="106"/>
      <c r="U107" s="35"/>
      <c r="V107" s="35"/>
      <c r="W107" s="35"/>
      <c r="X107" s="20"/>
      <c r="Y107" s="11"/>
      <c r="Z107" s="11"/>
      <c r="AA107" s="38">
        <f>SUM(I107*J107)+(L107*M107)+(O107*P107)+(R107*S107)+(U107*V107)+(X107*Y107)</f>
        <v>675</v>
      </c>
      <c r="AB107" s="17" t="e">
        <f>AVERAGE(K107,N107,Q107,T107,W107,Z107)</f>
        <v>#DIV/0!</v>
      </c>
    </row>
    <row r="108" spans="1:28" x14ac:dyDescent="0.2">
      <c r="B108" s="10" t="s">
        <v>64</v>
      </c>
      <c r="C108" s="11">
        <v>4</v>
      </c>
      <c r="D108" s="11">
        <v>3</v>
      </c>
      <c r="E108" s="11"/>
      <c r="F108" s="10" t="s">
        <v>136</v>
      </c>
      <c r="G108" s="10"/>
      <c r="H108" s="11">
        <v>3</v>
      </c>
      <c r="I108" s="12">
        <v>75</v>
      </c>
      <c r="J108" s="13">
        <v>3</v>
      </c>
      <c r="K108" s="12"/>
      <c r="L108" s="106">
        <v>75</v>
      </c>
      <c r="M108" s="107">
        <v>3</v>
      </c>
      <c r="N108" s="106"/>
      <c r="O108" s="12">
        <v>75</v>
      </c>
      <c r="P108" s="13">
        <v>3</v>
      </c>
      <c r="Q108" s="12"/>
      <c r="R108" s="106">
        <v>75</v>
      </c>
      <c r="S108" s="107">
        <v>3</v>
      </c>
      <c r="T108" s="106"/>
      <c r="U108" s="35"/>
      <c r="V108" s="35"/>
      <c r="W108" s="35"/>
      <c r="X108" s="20"/>
      <c r="Y108" s="11"/>
      <c r="Z108" s="11"/>
      <c r="AA108" s="38">
        <f>SUM(I108*J108)+(L108*M108)+(O108*P108)+(R108*S108)+(U108*V108)+(X108*Y108)</f>
        <v>900</v>
      </c>
      <c r="AB108" s="17" t="e">
        <f>AVERAGE(K108,N108,Q108,T108,W108,Z108)</f>
        <v>#DIV/0!</v>
      </c>
    </row>
    <row r="109" spans="1:28" hidden="1" x14ac:dyDescent="0.2">
      <c r="B109" s="10" t="s">
        <v>137</v>
      </c>
      <c r="C109" s="86" t="s">
        <v>152</v>
      </c>
      <c r="D109" s="145" t="s">
        <v>153</v>
      </c>
      <c r="E109" s="103">
        <v>0.75</v>
      </c>
      <c r="F109" s="86" t="s">
        <v>154</v>
      </c>
      <c r="G109" s="11"/>
      <c r="H109" s="86">
        <v>6</v>
      </c>
      <c r="I109" s="12"/>
      <c r="J109" s="13"/>
      <c r="K109" s="12"/>
      <c r="L109" s="106"/>
      <c r="M109" s="107"/>
      <c r="N109" s="106"/>
      <c r="O109" s="12"/>
      <c r="P109" s="13"/>
      <c r="Q109" s="12"/>
      <c r="R109" s="106"/>
      <c r="S109" s="107"/>
      <c r="T109" s="106"/>
      <c r="U109" s="35"/>
      <c r="V109" s="35"/>
      <c r="W109" s="35"/>
      <c r="X109" s="20"/>
      <c r="Y109" s="11"/>
      <c r="Z109" s="11"/>
      <c r="AA109" s="38">
        <f>SUM(I109*J109)+(L109*M109)+(O109*P109)+(R109*S109)+(U109*V109)+(X109*Y109)</f>
        <v>0</v>
      </c>
      <c r="AB109" s="17" t="e">
        <f>AVERAGE(K109,N109,Q109,T109,W109,Z109)</f>
        <v>#DIV/0!</v>
      </c>
    </row>
    <row r="110" spans="1:28" hidden="1" x14ac:dyDescent="0.2">
      <c r="B110" s="10" t="s">
        <v>139</v>
      </c>
      <c r="C110" s="86" t="s">
        <v>152</v>
      </c>
      <c r="D110" s="145" t="s">
        <v>153</v>
      </c>
      <c r="E110" s="103">
        <v>0.75</v>
      </c>
      <c r="F110" s="86" t="s">
        <v>154</v>
      </c>
      <c r="G110" s="11"/>
      <c r="H110" s="86">
        <v>6</v>
      </c>
      <c r="I110" s="12"/>
      <c r="J110" s="13"/>
      <c r="K110" s="12"/>
      <c r="L110" s="106"/>
      <c r="M110" s="107"/>
      <c r="N110" s="106"/>
      <c r="O110" s="12"/>
      <c r="P110" s="13"/>
      <c r="Q110" s="12"/>
      <c r="R110" s="106"/>
      <c r="S110" s="107"/>
      <c r="T110" s="106"/>
      <c r="U110" s="35"/>
      <c r="V110" s="35"/>
      <c r="W110" s="35"/>
      <c r="X110" s="20"/>
      <c r="Y110" s="11"/>
      <c r="Z110" s="11"/>
      <c r="AA110" s="39">
        <f t="shared" si="16"/>
        <v>0</v>
      </c>
      <c r="AB110" s="17" t="e">
        <f t="shared" si="17"/>
        <v>#DIV/0!</v>
      </c>
    </row>
    <row r="111" spans="1:28" x14ac:dyDescent="0.2">
      <c r="B111" s="214" t="str">
        <f>'Exercise Selection'!B3</f>
        <v>(B1) Incline Dumbbell press</v>
      </c>
      <c r="C111" s="215"/>
      <c r="D111" s="215"/>
      <c r="E111" s="215"/>
      <c r="F111" s="215"/>
      <c r="G111" s="215"/>
      <c r="H111" s="215"/>
      <c r="I111" s="202" t="s">
        <v>119</v>
      </c>
      <c r="J111" s="203"/>
      <c r="K111" s="203"/>
      <c r="L111" s="202" t="s">
        <v>120</v>
      </c>
      <c r="M111" s="203"/>
      <c r="N111" s="203"/>
      <c r="O111" s="202" t="s">
        <v>121</v>
      </c>
      <c r="P111" s="203"/>
      <c r="Q111" s="203"/>
      <c r="R111" s="202" t="s">
        <v>122</v>
      </c>
      <c r="S111" s="203"/>
      <c r="T111" s="203"/>
      <c r="U111" s="202" t="s">
        <v>123</v>
      </c>
      <c r="V111" s="203"/>
      <c r="W111" s="203"/>
      <c r="X111" s="202" t="s">
        <v>124</v>
      </c>
      <c r="Y111" s="203"/>
      <c r="Z111" s="203"/>
      <c r="AA111" s="202" t="s">
        <v>126</v>
      </c>
      <c r="AB111" s="212" t="s">
        <v>127</v>
      </c>
    </row>
    <row r="112" spans="1:28" x14ac:dyDescent="0.2">
      <c r="B112" s="202"/>
      <c r="C112" s="203"/>
      <c r="D112" s="203"/>
      <c r="E112" s="203"/>
      <c r="F112" s="203"/>
      <c r="G112" s="203"/>
      <c r="H112" s="203"/>
      <c r="I112" s="148"/>
      <c r="J112" s="148"/>
      <c r="K112" s="148"/>
      <c r="L112" s="148"/>
      <c r="M112" s="148"/>
      <c r="N112" s="148"/>
      <c r="O112" s="148"/>
      <c r="P112" s="148"/>
      <c r="Q112" s="148"/>
      <c r="R112" s="148"/>
      <c r="S112" s="148"/>
      <c r="T112" s="148"/>
      <c r="U112" s="148"/>
      <c r="V112" s="148"/>
      <c r="W112" s="148"/>
      <c r="X112" s="148"/>
      <c r="Y112" s="148"/>
      <c r="Z112" s="148"/>
      <c r="AA112" s="203"/>
      <c r="AB112" s="213"/>
    </row>
    <row r="113" spans="2:29" s="111" customFormat="1" x14ac:dyDescent="0.2">
      <c r="B113" s="89" t="s">
        <v>128</v>
      </c>
      <c r="C113" s="90" t="s">
        <v>129</v>
      </c>
      <c r="D113" s="90" t="s">
        <v>38</v>
      </c>
      <c r="E113" s="90" t="s">
        <v>130</v>
      </c>
      <c r="F113" s="90" t="s">
        <v>131</v>
      </c>
      <c r="G113" s="91" t="s">
        <v>132</v>
      </c>
      <c r="H113" s="81" t="s">
        <v>133</v>
      </c>
      <c r="I113" s="83" t="s">
        <v>134</v>
      </c>
      <c r="J113" s="83" t="s">
        <v>135</v>
      </c>
      <c r="K113" s="83" t="s">
        <v>133</v>
      </c>
      <c r="L113" s="83" t="s">
        <v>134</v>
      </c>
      <c r="M113" s="83" t="s">
        <v>135</v>
      </c>
      <c r="N113" s="83" t="s">
        <v>133</v>
      </c>
      <c r="O113" s="83" t="s">
        <v>134</v>
      </c>
      <c r="P113" s="83" t="s">
        <v>135</v>
      </c>
      <c r="Q113" s="83" t="s">
        <v>133</v>
      </c>
      <c r="R113" s="83" t="s">
        <v>134</v>
      </c>
      <c r="S113" s="83" t="s">
        <v>135</v>
      </c>
      <c r="T113" s="83" t="s">
        <v>133</v>
      </c>
      <c r="U113" s="83" t="s">
        <v>134</v>
      </c>
      <c r="V113" s="83" t="s">
        <v>135</v>
      </c>
      <c r="W113" s="83" t="s">
        <v>133</v>
      </c>
      <c r="X113" s="83" t="s">
        <v>134</v>
      </c>
      <c r="Y113" s="83" t="s">
        <v>135</v>
      </c>
      <c r="Z113" s="84" t="s">
        <v>133</v>
      </c>
      <c r="AA113" s="203"/>
      <c r="AB113" s="213"/>
    </row>
    <row r="114" spans="2:29" x14ac:dyDescent="0.2">
      <c r="B114" s="10" t="s">
        <v>59</v>
      </c>
      <c r="C114" s="10">
        <v>2</v>
      </c>
      <c r="D114" s="10">
        <v>12</v>
      </c>
      <c r="E114" s="10"/>
      <c r="F114" s="10" t="s">
        <v>140</v>
      </c>
      <c r="G114" s="10"/>
      <c r="H114" s="10">
        <v>2</v>
      </c>
      <c r="I114" s="12">
        <v>32</v>
      </c>
      <c r="J114" s="13">
        <v>12</v>
      </c>
      <c r="K114" s="12"/>
      <c r="L114" s="106">
        <v>32</v>
      </c>
      <c r="M114" s="107">
        <v>12</v>
      </c>
      <c r="N114" s="106"/>
      <c r="O114" s="12"/>
      <c r="P114" s="13"/>
      <c r="Q114" s="12"/>
      <c r="R114" s="106"/>
      <c r="S114" s="107"/>
      <c r="T114" s="106"/>
      <c r="U114" s="33"/>
      <c r="V114" s="34"/>
      <c r="W114" s="33"/>
      <c r="X114" s="14"/>
      <c r="Y114" s="10"/>
      <c r="Z114" s="10"/>
      <c r="AA114" s="37">
        <f>SUM(I114*J114)+(L114*M114)+(O114*P114)+(R114*S114)+(U114*V114)+(X114*Y114)</f>
        <v>768</v>
      </c>
      <c r="AB114" s="17" t="e">
        <f>AVERAGE(K114,N114,Q114,T114,W114,Z114)</f>
        <v>#DIV/0!</v>
      </c>
    </row>
    <row r="115" spans="2:29" x14ac:dyDescent="0.2">
      <c r="B115" s="10" t="s">
        <v>60</v>
      </c>
      <c r="C115" s="10">
        <v>3</v>
      </c>
      <c r="D115" s="10">
        <v>12</v>
      </c>
      <c r="E115" s="10"/>
      <c r="F115" s="10" t="s">
        <v>140</v>
      </c>
      <c r="G115" s="10"/>
      <c r="H115" s="10">
        <v>1</v>
      </c>
      <c r="I115" s="12">
        <v>32</v>
      </c>
      <c r="J115" s="13">
        <v>12</v>
      </c>
      <c r="K115" s="12"/>
      <c r="L115" s="106">
        <v>32</v>
      </c>
      <c r="M115" s="107">
        <v>12</v>
      </c>
      <c r="N115" s="106"/>
      <c r="O115" s="12">
        <v>32</v>
      </c>
      <c r="P115" s="13">
        <v>12</v>
      </c>
      <c r="Q115" s="12"/>
      <c r="R115" s="106"/>
      <c r="S115" s="107"/>
      <c r="T115" s="106"/>
      <c r="U115" s="33"/>
      <c r="V115" s="33"/>
      <c r="W115" s="33"/>
      <c r="X115" s="14"/>
      <c r="Y115" s="10"/>
      <c r="Z115" s="10"/>
      <c r="AA115" s="38">
        <f t="shared" ref="AA115:AA121" si="18">SUM(I115*J115)+(L115*M115)+(O115*P115)+(R115*S115)+(U115*V115)+(X115*Y115)</f>
        <v>1152</v>
      </c>
      <c r="AB115" s="17" t="e">
        <f t="shared" ref="AB115:AB121" si="19">AVERAGE(K115,N115,Q115,T115,W115,Z115)</f>
        <v>#DIV/0!</v>
      </c>
    </row>
    <row r="116" spans="2:29" x14ac:dyDescent="0.2">
      <c r="B116" s="10" t="s">
        <v>61</v>
      </c>
      <c r="C116" s="10">
        <v>4</v>
      </c>
      <c r="D116" s="10">
        <v>10</v>
      </c>
      <c r="E116" s="10"/>
      <c r="F116" s="10" t="s">
        <v>140</v>
      </c>
      <c r="G116" s="10"/>
      <c r="H116" s="10">
        <v>2</v>
      </c>
      <c r="I116" s="12">
        <v>32</v>
      </c>
      <c r="J116" s="13">
        <v>10</v>
      </c>
      <c r="K116" s="12"/>
      <c r="L116" s="106">
        <v>36</v>
      </c>
      <c r="M116" s="107">
        <v>10</v>
      </c>
      <c r="N116" s="106"/>
      <c r="O116" s="12">
        <v>36</v>
      </c>
      <c r="P116" s="13">
        <v>10</v>
      </c>
      <c r="Q116" s="12"/>
      <c r="R116" s="106">
        <v>36</v>
      </c>
      <c r="S116" s="107">
        <v>10</v>
      </c>
      <c r="T116" s="106"/>
      <c r="U116" s="33"/>
      <c r="V116" s="33"/>
      <c r="W116" s="33"/>
      <c r="X116" s="14"/>
      <c r="Y116" s="10"/>
      <c r="Z116" s="10"/>
      <c r="AA116" s="38">
        <f t="shared" si="18"/>
        <v>1400</v>
      </c>
      <c r="AB116" s="17" t="e">
        <f t="shared" si="19"/>
        <v>#DIV/0!</v>
      </c>
    </row>
    <row r="117" spans="2:29" x14ac:dyDescent="0.2">
      <c r="B117" s="10" t="s">
        <v>62</v>
      </c>
      <c r="C117" s="11">
        <v>2</v>
      </c>
      <c r="D117" s="11">
        <v>10</v>
      </c>
      <c r="E117" s="11"/>
      <c r="F117" s="10" t="s">
        <v>140</v>
      </c>
      <c r="G117" s="10"/>
      <c r="H117" s="11">
        <v>1</v>
      </c>
      <c r="I117" s="12">
        <v>36</v>
      </c>
      <c r="J117" s="13">
        <v>10</v>
      </c>
      <c r="K117" s="12"/>
      <c r="L117" s="106">
        <v>36</v>
      </c>
      <c r="M117" s="107">
        <v>10</v>
      </c>
      <c r="N117" s="106"/>
      <c r="O117" s="12"/>
      <c r="P117" s="13"/>
      <c r="Q117" s="12"/>
      <c r="R117" s="106"/>
      <c r="S117" s="107"/>
      <c r="T117" s="106"/>
      <c r="U117" s="35"/>
      <c r="V117" s="35"/>
      <c r="W117" s="35"/>
      <c r="X117" s="20"/>
      <c r="Y117" s="11"/>
      <c r="Z117" s="11"/>
      <c r="AA117" s="38">
        <f>SUM(I117*J117)+(L117*M117)+(O117*P117)+(R117*S117)+(U117*V117)+(X117*Y117)</f>
        <v>720</v>
      </c>
      <c r="AB117" s="17" t="e">
        <f>AVERAGE(K117,N117,Q117,T117,W117,Z117)</f>
        <v>#DIV/0!</v>
      </c>
    </row>
    <row r="118" spans="2:29" x14ac:dyDescent="0.2">
      <c r="B118" s="10" t="s">
        <v>63</v>
      </c>
      <c r="C118" s="10">
        <v>3</v>
      </c>
      <c r="D118" s="10">
        <v>8</v>
      </c>
      <c r="E118" s="10"/>
      <c r="F118" s="10" t="s">
        <v>140</v>
      </c>
      <c r="G118" s="10"/>
      <c r="H118" s="10">
        <v>2</v>
      </c>
      <c r="I118" s="12">
        <v>40</v>
      </c>
      <c r="J118" s="13">
        <v>8</v>
      </c>
      <c r="K118" s="12"/>
      <c r="L118" s="106">
        <v>40</v>
      </c>
      <c r="M118" s="107">
        <v>8</v>
      </c>
      <c r="N118" s="106"/>
      <c r="O118" s="12">
        <v>40</v>
      </c>
      <c r="P118" s="13">
        <v>8</v>
      </c>
      <c r="Q118" s="12"/>
      <c r="R118" s="106"/>
      <c r="S118" s="107"/>
      <c r="T118" s="106"/>
      <c r="U118" s="35"/>
      <c r="V118" s="35"/>
      <c r="W118" s="35"/>
      <c r="X118" s="20"/>
      <c r="Y118" s="11"/>
      <c r="Z118" s="11"/>
      <c r="AA118" s="38">
        <f>SUM(I118*J118)+(L118*M118)+(O118*P118)+(R118*S118)+(U118*V118)+(X118*Y118)</f>
        <v>960</v>
      </c>
      <c r="AB118" s="17" t="e">
        <f>AVERAGE(K118,N118,Q118,T118,W118,Z118)</f>
        <v>#DIV/0!</v>
      </c>
    </row>
    <row r="119" spans="2:29" x14ac:dyDescent="0.2">
      <c r="B119" s="10" t="s">
        <v>64</v>
      </c>
      <c r="C119" s="11">
        <v>4</v>
      </c>
      <c r="D119" s="11">
        <v>8</v>
      </c>
      <c r="E119" s="11"/>
      <c r="F119" s="10" t="s">
        <v>140</v>
      </c>
      <c r="G119" s="10"/>
      <c r="H119" s="11">
        <v>1</v>
      </c>
      <c r="I119" s="12">
        <v>40</v>
      </c>
      <c r="J119" s="13">
        <v>8</v>
      </c>
      <c r="K119" s="12"/>
      <c r="L119" s="106">
        <v>40</v>
      </c>
      <c r="M119" s="107">
        <v>8</v>
      </c>
      <c r="N119" s="106"/>
      <c r="O119" s="12">
        <v>40</v>
      </c>
      <c r="P119" s="13">
        <v>8</v>
      </c>
      <c r="Q119" s="12"/>
      <c r="R119" s="106">
        <v>40</v>
      </c>
      <c r="S119" s="107">
        <v>8</v>
      </c>
      <c r="T119" s="106"/>
      <c r="U119" s="35"/>
      <c r="V119" s="35"/>
      <c r="W119" s="35"/>
      <c r="X119" s="20"/>
      <c r="Y119" s="11"/>
      <c r="Z119" s="11"/>
      <c r="AA119" s="38">
        <f>SUM(I119*J119)+(L119*M119)+(O119*P119)+(R119*S119)+(U119*V119)+(X119*Y119)</f>
        <v>1280</v>
      </c>
      <c r="AB119" s="17" t="e">
        <f>AVERAGE(K119,N119,Q119,T119,W119,Z119)</f>
        <v>#DIV/0!</v>
      </c>
    </row>
    <row r="120" spans="2:29" hidden="1" x14ac:dyDescent="0.2">
      <c r="B120" s="10" t="s">
        <v>137</v>
      </c>
      <c r="C120" s="89">
        <v>3</v>
      </c>
      <c r="D120" s="93" t="s">
        <v>155</v>
      </c>
      <c r="E120" s="88"/>
      <c r="F120" s="86" t="s">
        <v>156</v>
      </c>
      <c r="G120" s="88"/>
      <c r="H120" s="11">
        <v>8</v>
      </c>
      <c r="I120" s="12"/>
      <c r="J120" s="13"/>
      <c r="K120" s="12"/>
      <c r="L120" s="106"/>
      <c r="M120" s="107"/>
      <c r="N120" s="106"/>
      <c r="O120" s="12"/>
      <c r="P120" s="13"/>
      <c r="Q120" s="12"/>
      <c r="R120" s="106"/>
      <c r="S120" s="107"/>
      <c r="T120" s="106"/>
      <c r="U120" s="35"/>
      <c r="V120" s="35"/>
      <c r="W120" s="35"/>
      <c r="X120" s="20"/>
      <c r="Y120" s="11"/>
      <c r="Z120" s="11"/>
      <c r="AA120" s="38">
        <f>SUM(I120*J120)+(L120*M120)+(O120*P120)+(R120*S120)+(U120*V120)+(X120*Y120)</f>
        <v>0</v>
      </c>
      <c r="AB120" s="17" t="e">
        <f>AVERAGE(K120,N120,Q120,T120,W120,Z120)</f>
        <v>#DIV/0!</v>
      </c>
    </row>
    <row r="121" spans="2:29" hidden="1" x14ac:dyDescent="0.2">
      <c r="B121" s="10" t="s">
        <v>139</v>
      </c>
      <c r="C121" s="140">
        <v>2</v>
      </c>
      <c r="D121" s="94" t="s">
        <v>155</v>
      </c>
      <c r="E121" s="88"/>
      <c r="F121" s="86" t="s">
        <v>156</v>
      </c>
      <c r="G121" s="88"/>
      <c r="H121" s="11">
        <v>9</v>
      </c>
      <c r="I121" s="12"/>
      <c r="J121" s="13"/>
      <c r="K121" s="12"/>
      <c r="L121" s="106"/>
      <c r="M121" s="107"/>
      <c r="N121" s="106"/>
      <c r="O121" s="12"/>
      <c r="P121" s="13"/>
      <c r="Q121" s="12"/>
      <c r="R121" s="106"/>
      <c r="S121" s="107"/>
      <c r="T121" s="106"/>
      <c r="U121" s="35"/>
      <c r="V121" s="35"/>
      <c r="W121" s="35"/>
      <c r="X121" s="20"/>
      <c r="Y121" s="11"/>
      <c r="Z121" s="11"/>
      <c r="AA121" s="39">
        <f t="shared" si="18"/>
        <v>0</v>
      </c>
      <c r="AB121" s="17" t="e">
        <f t="shared" si="19"/>
        <v>#DIV/0!</v>
      </c>
    </row>
    <row r="122" spans="2:29" x14ac:dyDescent="0.2">
      <c r="B122" s="214" t="str">
        <f>'Exercise Selection'!B4</f>
        <v>(B2) Seated Cable Row</v>
      </c>
      <c r="C122" s="215"/>
      <c r="D122" s="215"/>
      <c r="E122" s="215"/>
      <c r="F122" s="215"/>
      <c r="G122" s="215"/>
      <c r="H122" s="215"/>
      <c r="I122" s="202" t="s">
        <v>119</v>
      </c>
      <c r="J122" s="203"/>
      <c r="K122" s="203"/>
      <c r="L122" s="202" t="s">
        <v>120</v>
      </c>
      <c r="M122" s="203"/>
      <c r="N122" s="203"/>
      <c r="O122" s="202" t="s">
        <v>121</v>
      </c>
      <c r="P122" s="203"/>
      <c r="Q122" s="203"/>
      <c r="R122" s="202" t="s">
        <v>122</v>
      </c>
      <c r="S122" s="203"/>
      <c r="T122" s="203"/>
      <c r="U122" s="202" t="s">
        <v>123</v>
      </c>
      <c r="V122" s="203"/>
      <c r="W122" s="203"/>
      <c r="X122" s="202" t="s">
        <v>124</v>
      </c>
      <c r="Y122" s="203"/>
      <c r="Z122" s="203"/>
      <c r="AA122" s="202" t="s">
        <v>126</v>
      </c>
      <c r="AB122" s="212" t="s">
        <v>127</v>
      </c>
    </row>
    <row r="123" spans="2:29" x14ac:dyDescent="0.2">
      <c r="B123" s="202"/>
      <c r="C123" s="203"/>
      <c r="D123" s="203"/>
      <c r="E123" s="203"/>
      <c r="F123" s="203"/>
      <c r="G123" s="203"/>
      <c r="H123" s="203"/>
      <c r="I123" s="148"/>
      <c r="J123" s="148"/>
      <c r="K123" s="148"/>
      <c r="L123" s="148"/>
      <c r="M123" s="148"/>
      <c r="N123" s="148"/>
      <c r="O123" s="148"/>
      <c r="P123" s="148"/>
      <c r="Q123" s="148"/>
      <c r="R123" s="148"/>
      <c r="S123" s="148"/>
      <c r="T123" s="148"/>
      <c r="U123" s="148"/>
      <c r="V123" s="148"/>
      <c r="W123" s="148"/>
      <c r="X123" s="148"/>
      <c r="Y123" s="148"/>
      <c r="Z123" s="148"/>
      <c r="AA123" s="203"/>
      <c r="AB123" s="213"/>
    </row>
    <row r="124" spans="2:29" s="111" customFormat="1" x14ac:dyDescent="0.2">
      <c r="B124" s="89" t="s">
        <v>128</v>
      </c>
      <c r="C124" s="90" t="s">
        <v>129</v>
      </c>
      <c r="D124" s="90" t="s">
        <v>38</v>
      </c>
      <c r="E124" s="90" t="s">
        <v>130</v>
      </c>
      <c r="F124" s="90" t="s">
        <v>131</v>
      </c>
      <c r="G124" s="91" t="s">
        <v>132</v>
      </c>
      <c r="H124" s="81" t="s">
        <v>133</v>
      </c>
      <c r="I124" s="83" t="s">
        <v>134</v>
      </c>
      <c r="J124" s="83" t="s">
        <v>135</v>
      </c>
      <c r="K124" s="83" t="s">
        <v>133</v>
      </c>
      <c r="L124" s="83" t="s">
        <v>134</v>
      </c>
      <c r="M124" s="83" t="s">
        <v>135</v>
      </c>
      <c r="N124" s="83" t="s">
        <v>133</v>
      </c>
      <c r="O124" s="83" t="s">
        <v>134</v>
      </c>
      <c r="P124" s="83" t="s">
        <v>135</v>
      </c>
      <c r="Q124" s="83" t="s">
        <v>133</v>
      </c>
      <c r="R124" s="83" t="s">
        <v>134</v>
      </c>
      <c r="S124" s="83" t="s">
        <v>135</v>
      </c>
      <c r="T124" s="83" t="s">
        <v>133</v>
      </c>
      <c r="U124" s="83" t="s">
        <v>134</v>
      </c>
      <c r="V124" s="83" t="s">
        <v>135</v>
      </c>
      <c r="W124" s="83" t="s">
        <v>133</v>
      </c>
      <c r="X124" s="83" t="s">
        <v>134</v>
      </c>
      <c r="Y124" s="83" t="s">
        <v>135</v>
      </c>
      <c r="Z124" s="84" t="s">
        <v>133</v>
      </c>
      <c r="AA124" s="203"/>
      <c r="AB124" s="213"/>
    </row>
    <row r="125" spans="2:29" x14ac:dyDescent="0.2">
      <c r="B125" s="10" t="s">
        <v>59</v>
      </c>
      <c r="C125" s="10">
        <v>2</v>
      </c>
      <c r="D125" s="10">
        <v>12</v>
      </c>
      <c r="E125" s="10"/>
      <c r="F125" s="10" t="s">
        <v>140</v>
      </c>
      <c r="G125" s="10"/>
      <c r="H125" s="10">
        <v>2</v>
      </c>
      <c r="I125" s="12">
        <v>39</v>
      </c>
      <c r="J125" s="13">
        <v>12</v>
      </c>
      <c r="K125" s="12"/>
      <c r="L125" s="106">
        <v>45</v>
      </c>
      <c r="M125" s="107">
        <v>12</v>
      </c>
      <c r="N125" s="106"/>
      <c r="O125" s="12"/>
      <c r="P125" s="13"/>
      <c r="Q125" s="12"/>
      <c r="R125" s="106"/>
      <c r="S125" s="107"/>
      <c r="T125" s="106"/>
      <c r="U125" s="33"/>
      <c r="V125" s="34"/>
      <c r="W125" s="33"/>
      <c r="X125" s="14"/>
      <c r="Y125" s="10"/>
      <c r="Z125" s="10"/>
      <c r="AA125" s="37">
        <f>SUM(I125*J125)+(L125*M125)+(O125*P125)+(R125*S125)+(U125*V125)+(X125*Y125)</f>
        <v>1008</v>
      </c>
      <c r="AB125" s="17" t="e">
        <f t="shared" ref="AB125:AB132" si="20">AVERAGE(K125,N125,Q125,T125,W125,Z125)</f>
        <v>#DIV/0!</v>
      </c>
    </row>
    <row r="126" spans="2:29" x14ac:dyDescent="0.2">
      <c r="B126" s="10" t="s">
        <v>60</v>
      </c>
      <c r="C126" s="10">
        <v>3</v>
      </c>
      <c r="D126" s="10">
        <v>12</v>
      </c>
      <c r="E126" s="10"/>
      <c r="F126" s="10" t="s">
        <v>140</v>
      </c>
      <c r="G126" s="10"/>
      <c r="H126" s="10">
        <v>1</v>
      </c>
      <c r="I126" s="12">
        <v>45</v>
      </c>
      <c r="J126" s="13">
        <v>12</v>
      </c>
      <c r="K126" s="12"/>
      <c r="L126" s="106">
        <v>45</v>
      </c>
      <c r="M126" s="107">
        <v>12</v>
      </c>
      <c r="N126" s="106"/>
      <c r="O126" s="12">
        <v>45</v>
      </c>
      <c r="P126" s="13">
        <v>12</v>
      </c>
      <c r="Q126" s="12"/>
      <c r="R126" s="106"/>
      <c r="S126" s="107"/>
      <c r="T126" s="106"/>
      <c r="U126" s="33"/>
      <c r="V126" s="33"/>
      <c r="W126" s="33"/>
      <c r="X126" s="14"/>
      <c r="Y126" s="10"/>
      <c r="Z126" s="10"/>
      <c r="AA126" s="38">
        <f t="shared" ref="AA126:AA132" si="21">SUM(I126*J126)+(L126*M126)+(O126*P126)+(R126*S126)+(U126*V126)+(X126*Y126)</f>
        <v>1620</v>
      </c>
      <c r="AB126" s="17" t="e">
        <f t="shared" si="20"/>
        <v>#DIV/0!</v>
      </c>
      <c r="AC126" s="17">
        <f>AVERAGE(L29,O29,R29,U29,X29,AA29)</f>
        <v>200</v>
      </c>
    </row>
    <row r="127" spans="2:29" x14ac:dyDescent="0.2">
      <c r="B127" s="10" t="s">
        <v>61</v>
      </c>
      <c r="C127" s="10">
        <v>4</v>
      </c>
      <c r="D127" s="10">
        <v>10</v>
      </c>
      <c r="E127" s="10"/>
      <c r="F127" s="10" t="s">
        <v>140</v>
      </c>
      <c r="G127" s="10"/>
      <c r="H127" s="10">
        <v>2</v>
      </c>
      <c r="I127" s="12">
        <v>45</v>
      </c>
      <c r="J127" s="13">
        <v>10</v>
      </c>
      <c r="K127" s="12"/>
      <c r="L127" s="106">
        <v>45</v>
      </c>
      <c r="M127" s="107">
        <v>10</v>
      </c>
      <c r="N127" s="106"/>
      <c r="O127" s="12">
        <v>45</v>
      </c>
      <c r="P127" s="13">
        <v>10</v>
      </c>
      <c r="Q127" s="12"/>
      <c r="R127" s="106">
        <v>45</v>
      </c>
      <c r="S127" s="107">
        <v>10</v>
      </c>
      <c r="T127" s="106"/>
      <c r="U127" s="33"/>
      <c r="V127" s="33"/>
      <c r="W127" s="33"/>
      <c r="X127" s="14"/>
      <c r="Y127" s="10"/>
      <c r="Z127" s="10"/>
      <c r="AA127" s="38">
        <f t="shared" si="21"/>
        <v>1800</v>
      </c>
      <c r="AB127" s="17" t="e">
        <f t="shared" si="20"/>
        <v>#DIV/0!</v>
      </c>
    </row>
    <row r="128" spans="2:29" x14ac:dyDescent="0.2">
      <c r="B128" s="10" t="s">
        <v>62</v>
      </c>
      <c r="C128" s="11">
        <v>2</v>
      </c>
      <c r="D128" s="11">
        <v>10</v>
      </c>
      <c r="E128" s="11"/>
      <c r="F128" s="10" t="s">
        <v>140</v>
      </c>
      <c r="G128" s="10"/>
      <c r="H128" s="11">
        <v>1</v>
      </c>
      <c r="I128" s="12">
        <v>52</v>
      </c>
      <c r="J128" s="13">
        <v>10</v>
      </c>
      <c r="K128" s="12"/>
      <c r="L128" s="106">
        <v>52</v>
      </c>
      <c r="M128" s="107">
        <v>10</v>
      </c>
      <c r="N128" s="106"/>
      <c r="O128" s="12"/>
      <c r="P128" s="13"/>
      <c r="Q128" s="12"/>
      <c r="R128" s="106"/>
      <c r="S128" s="107"/>
      <c r="T128" s="106"/>
      <c r="U128" s="35"/>
      <c r="V128" s="35"/>
      <c r="W128" s="35"/>
      <c r="X128" s="20"/>
      <c r="Y128" s="11"/>
      <c r="Z128" s="11"/>
      <c r="AA128" s="38">
        <f>SUM(I128*J128)+(L128*M128)+(O128*P128)+(R128*S128)+(U128*V128)+(X128*Y128)</f>
        <v>1040</v>
      </c>
      <c r="AB128" s="17" t="e">
        <f t="shared" si="20"/>
        <v>#DIV/0!</v>
      </c>
    </row>
    <row r="129" spans="2:28" x14ac:dyDescent="0.2">
      <c r="B129" s="10" t="s">
        <v>63</v>
      </c>
      <c r="C129" s="10">
        <v>3</v>
      </c>
      <c r="D129" s="10">
        <v>8</v>
      </c>
      <c r="E129" s="10"/>
      <c r="F129" s="10" t="s">
        <v>140</v>
      </c>
      <c r="G129" s="10"/>
      <c r="H129" s="10">
        <v>2</v>
      </c>
      <c r="I129" s="12">
        <v>59</v>
      </c>
      <c r="J129" s="13">
        <v>8</v>
      </c>
      <c r="K129" s="12"/>
      <c r="L129" s="106">
        <v>59</v>
      </c>
      <c r="M129" s="107">
        <v>8</v>
      </c>
      <c r="N129" s="106"/>
      <c r="O129" s="12">
        <v>59</v>
      </c>
      <c r="P129" s="13">
        <v>8</v>
      </c>
      <c r="Q129" s="12"/>
      <c r="R129" s="106"/>
      <c r="S129" s="107"/>
      <c r="T129" s="106"/>
      <c r="U129" s="35"/>
      <c r="V129" s="35"/>
      <c r="W129" s="35"/>
      <c r="X129" s="20"/>
      <c r="Y129" s="11"/>
      <c r="Z129" s="11"/>
      <c r="AA129" s="38">
        <f>SUM(I129*J129)+(L129*M129)+(O129*P129)+(R129*S129)+(U129*V129)+(X129*Y129)</f>
        <v>1416</v>
      </c>
      <c r="AB129" s="17" t="e">
        <f t="shared" si="20"/>
        <v>#DIV/0!</v>
      </c>
    </row>
    <row r="130" spans="2:28" x14ac:dyDescent="0.2">
      <c r="B130" s="85" t="s">
        <v>64</v>
      </c>
      <c r="C130" s="11">
        <v>4</v>
      </c>
      <c r="D130" s="11">
        <v>8</v>
      </c>
      <c r="E130" s="11"/>
      <c r="F130" s="10" t="s">
        <v>140</v>
      </c>
      <c r="G130" s="10"/>
      <c r="H130" s="11">
        <v>1</v>
      </c>
      <c r="I130" s="12">
        <v>59</v>
      </c>
      <c r="J130" s="13">
        <v>8</v>
      </c>
      <c r="K130" s="12"/>
      <c r="L130" s="106">
        <v>59</v>
      </c>
      <c r="M130" s="107">
        <v>8</v>
      </c>
      <c r="N130" s="106"/>
      <c r="O130" s="12">
        <v>59</v>
      </c>
      <c r="P130" s="13">
        <v>8</v>
      </c>
      <c r="Q130" s="12"/>
      <c r="R130" s="106">
        <v>59</v>
      </c>
      <c r="S130" s="107">
        <v>8</v>
      </c>
      <c r="T130" s="106"/>
      <c r="U130" s="35"/>
      <c r="V130" s="35"/>
      <c r="W130" s="35"/>
      <c r="X130" s="20"/>
      <c r="Y130" s="11"/>
      <c r="Z130" s="11"/>
      <c r="AA130" s="38">
        <f>SUM(I130*J130)+(L130*M130)+(O130*P130)+(R130*S130)+(U130*V130)+(X130*Y130)</f>
        <v>1888</v>
      </c>
      <c r="AB130" s="17" t="e">
        <f t="shared" si="20"/>
        <v>#DIV/0!</v>
      </c>
    </row>
    <row r="131" spans="2:28" hidden="1" x14ac:dyDescent="0.2">
      <c r="B131" s="10" t="s">
        <v>137</v>
      </c>
      <c r="C131" s="89">
        <v>3</v>
      </c>
      <c r="D131" s="11">
        <v>8</v>
      </c>
      <c r="E131" s="11"/>
      <c r="F131" s="92" t="s">
        <v>157</v>
      </c>
      <c r="G131" s="11"/>
      <c r="H131" s="11">
        <v>8</v>
      </c>
      <c r="I131" s="12"/>
      <c r="J131" s="13"/>
      <c r="K131" s="12"/>
      <c r="L131" s="106"/>
      <c r="M131" s="107"/>
      <c r="N131" s="106"/>
      <c r="O131" s="12"/>
      <c r="P131" s="13"/>
      <c r="Q131" s="12"/>
      <c r="R131" s="106"/>
      <c r="S131" s="107"/>
      <c r="T131" s="106"/>
      <c r="U131" s="35"/>
      <c r="V131" s="35"/>
      <c r="W131" s="35"/>
      <c r="X131" s="20"/>
      <c r="Y131" s="11"/>
      <c r="Z131" s="11"/>
      <c r="AA131" s="38">
        <f>SUM(I131*J131)+(L131*M131)+(O131*P131)+(R131*S131)+(U131*V131)+(X131*Y131)</f>
        <v>0</v>
      </c>
      <c r="AB131" s="17" t="e">
        <f t="shared" si="20"/>
        <v>#DIV/0!</v>
      </c>
    </row>
    <row r="132" spans="2:28" hidden="1" x14ac:dyDescent="0.2">
      <c r="B132" s="10" t="s">
        <v>139</v>
      </c>
      <c r="C132" s="140">
        <v>2</v>
      </c>
      <c r="D132" s="11">
        <v>8</v>
      </c>
      <c r="E132" s="11"/>
      <c r="F132" s="92" t="s">
        <v>157</v>
      </c>
      <c r="G132" s="11"/>
      <c r="H132" s="11">
        <v>9</v>
      </c>
      <c r="I132" s="12"/>
      <c r="J132" s="13"/>
      <c r="K132" s="12"/>
      <c r="L132" s="106"/>
      <c r="M132" s="107"/>
      <c r="N132" s="106"/>
      <c r="O132" s="12"/>
      <c r="P132" s="13"/>
      <c r="Q132" s="12"/>
      <c r="R132" s="106"/>
      <c r="S132" s="107"/>
      <c r="T132" s="106"/>
      <c r="U132" s="35"/>
      <c r="V132" s="35"/>
      <c r="W132" s="35"/>
      <c r="X132" s="20"/>
      <c r="Y132" s="11"/>
      <c r="Z132" s="11"/>
      <c r="AA132" s="39">
        <f t="shared" si="21"/>
        <v>0</v>
      </c>
      <c r="AB132" s="17" t="e">
        <f t="shared" si="20"/>
        <v>#DIV/0!</v>
      </c>
    </row>
    <row r="133" spans="2:28" x14ac:dyDescent="0.2">
      <c r="B133" s="214" t="str">
        <f>'Exercise Selection'!B5</f>
        <v>(C1) Single Arm Half  kneeling Dumbbell Shoulder Press</v>
      </c>
      <c r="C133" s="215"/>
      <c r="D133" s="215"/>
      <c r="E133" s="215"/>
      <c r="F133" s="215"/>
      <c r="G133" s="215"/>
      <c r="H133" s="215"/>
      <c r="I133" s="202" t="s">
        <v>119</v>
      </c>
      <c r="J133" s="203"/>
      <c r="K133" s="203"/>
      <c r="L133" s="202" t="s">
        <v>120</v>
      </c>
      <c r="M133" s="203"/>
      <c r="N133" s="203"/>
      <c r="O133" s="202" t="s">
        <v>121</v>
      </c>
      <c r="P133" s="203"/>
      <c r="Q133" s="203"/>
      <c r="R133" s="202" t="s">
        <v>122</v>
      </c>
      <c r="S133" s="203"/>
      <c r="T133" s="203"/>
      <c r="U133" s="202" t="s">
        <v>123</v>
      </c>
      <c r="V133" s="203"/>
      <c r="W133" s="203"/>
      <c r="X133" s="202" t="s">
        <v>124</v>
      </c>
      <c r="Y133" s="203"/>
      <c r="Z133" s="203"/>
      <c r="AA133" s="202" t="s">
        <v>126</v>
      </c>
      <c r="AB133" s="212" t="s">
        <v>127</v>
      </c>
    </row>
    <row r="134" spans="2:28" x14ac:dyDescent="0.2">
      <c r="B134" s="202"/>
      <c r="C134" s="203"/>
      <c r="D134" s="203"/>
      <c r="E134" s="203"/>
      <c r="F134" s="203"/>
      <c r="G134" s="203"/>
      <c r="H134" s="203"/>
      <c r="I134" s="148"/>
      <c r="J134" s="148"/>
      <c r="K134" s="148"/>
      <c r="L134" s="148"/>
      <c r="M134" s="148"/>
      <c r="N134" s="148"/>
      <c r="O134" s="148"/>
      <c r="P134" s="148"/>
      <c r="Q134" s="148"/>
      <c r="R134" s="148"/>
      <c r="S134" s="148"/>
      <c r="T134" s="148"/>
      <c r="U134" s="148"/>
      <c r="V134" s="148"/>
      <c r="W134" s="148"/>
      <c r="X134" s="148"/>
      <c r="Y134" s="148"/>
      <c r="Z134" s="148"/>
      <c r="AA134" s="203"/>
      <c r="AB134" s="213"/>
    </row>
    <row r="135" spans="2:28" s="111" customFormat="1" x14ac:dyDescent="0.2">
      <c r="B135" s="80" t="s">
        <v>128</v>
      </c>
      <c r="C135" s="80" t="s">
        <v>129</v>
      </c>
      <c r="D135" s="80" t="s">
        <v>38</v>
      </c>
      <c r="E135" s="80" t="s">
        <v>130</v>
      </c>
      <c r="F135" s="80" t="s">
        <v>131</v>
      </c>
      <c r="G135" s="81" t="s">
        <v>132</v>
      </c>
      <c r="H135" s="81" t="s">
        <v>133</v>
      </c>
      <c r="I135" s="83" t="s">
        <v>134</v>
      </c>
      <c r="J135" s="83" t="s">
        <v>135</v>
      </c>
      <c r="K135" s="83" t="s">
        <v>133</v>
      </c>
      <c r="L135" s="83" t="s">
        <v>134</v>
      </c>
      <c r="M135" s="83" t="s">
        <v>135</v>
      </c>
      <c r="N135" s="83" t="s">
        <v>133</v>
      </c>
      <c r="O135" s="83" t="s">
        <v>134</v>
      </c>
      <c r="P135" s="83" t="s">
        <v>135</v>
      </c>
      <c r="Q135" s="83" t="s">
        <v>133</v>
      </c>
      <c r="R135" s="83" t="s">
        <v>134</v>
      </c>
      <c r="S135" s="83" t="s">
        <v>135</v>
      </c>
      <c r="T135" s="83" t="s">
        <v>133</v>
      </c>
      <c r="U135" s="83" t="s">
        <v>134</v>
      </c>
      <c r="V135" s="83" t="s">
        <v>135</v>
      </c>
      <c r="W135" s="83" t="s">
        <v>133</v>
      </c>
      <c r="X135" s="83" t="s">
        <v>134</v>
      </c>
      <c r="Y135" s="83" t="s">
        <v>135</v>
      </c>
      <c r="Z135" s="84" t="s">
        <v>133</v>
      </c>
      <c r="AA135" s="203"/>
      <c r="AB135" s="213"/>
    </row>
    <row r="136" spans="2:28" x14ac:dyDescent="0.2">
      <c r="B136" s="10" t="s">
        <v>59</v>
      </c>
      <c r="C136" s="10">
        <v>2</v>
      </c>
      <c r="D136" s="10">
        <v>12</v>
      </c>
      <c r="E136" s="10"/>
      <c r="F136" s="10" t="s">
        <v>140</v>
      </c>
      <c r="G136" s="10"/>
      <c r="H136" s="10">
        <v>2</v>
      </c>
      <c r="I136" s="12">
        <v>8</v>
      </c>
      <c r="J136" s="13">
        <v>12</v>
      </c>
      <c r="K136" s="12"/>
      <c r="L136" s="106">
        <v>8</v>
      </c>
      <c r="M136" s="107">
        <v>12</v>
      </c>
      <c r="N136" s="106"/>
      <c r="O136" s="12"/>
      <c r="P136" s="13"/>
      <c r="Q136" s="12"/>
      <c r="R136" s="106"/>
      <c r="S136" s="107"/>
      <c r="T136" s="106"/>
      <c r="U136" s="33"/>
      <c r="V136" s="34"/>
      <c r="W136" s="33"/>
      <c r="X136" s="14"/>
      <c r="Y136" s="10"/>
      <c r="Z136" s="10"/>
      <c r="AA136" s="37">
        <f>SUM(I136*J136)+(L136*M136)+(O136*P136)+(R136*S136)+(U136*V136)+(X136*Y136)</f>
        <v>192</v>
      </c>
      <c r="AB136" s="17" t="e">
        <f t="shared" ref="AB136:AB143" si="22">AVERAGE(K136,N136,Q136,T136,W136,Z136)</f>
        <v>#DIV/0!</v>
      </c>
    </row>
    <row r="137" spans="2:28" x14ac:dyDescent="0.2">
      <c r="B137" s="10" t="s">
        <v>60</v>
      </c>
      <c r="C137" s="10">
        <v>3</v>
      </c>
      <c r="D137" s="10">
        <v>12</v>
      </c>
      <c r="E137" s="10"/>
      <c r="F137" s="10" t="s">
        <v>140</v>
      </c>
      <c r="G137" s="10"/>
      <c r="H137" s="10">
        <v>1</v>
      </c>
      <c r="I137" s="12">
        <v>8</v>
      </c>
      <c r="J137" s="13">
        <v>12</v>
      </c>
      <c r="K137" s="12"/>
      <c r="L137" s="106">
        <v>8</v>
      </c>
      <c r="M137" s="107">
        <v>12</v>
      </c>
      <c r="N137" s="106"/>
      <c r="O137" s="12">
        <v>8</v>
      </c>
      <c r="P137" s="13">
        <v>12</v>
      </c>
      <c r="Q137" s="12"/>
      <c r="R137" s="106"/>
      <c r="S137" s="107"/>
      <c r="T137" s="106"/>
      <c r="U137" s="33"/>
      <c r="V137" s="33"/>
      <c r="W137" s="33"/>
      <c r="X137" s="14"/>
      <c r="Y137" s="10"/>
      <c r="Z137" s="10"/>
      <c r="AA137" s="38">
        <f t="shared" ref="AA137:AA143" si="23">SUM(I137*J137)+(L137*M137)+(O137*P137)+(R137*S137)+(U137*V137)+(X137*Y137)</f>
        <v>288</v>
      </c>
      <c r="AB137" s="17" t="e">
        <f t="shared" si="22"/>
        <v>#DIV/0!</v>
      </c>
    </row>
    <row r="138" spans="2:28" x14ac:dyDescent="0.2">
      <c r="B138" s="10" t="s">
        <v>61</v>
      </c>
      <c r="C138" s="10">
        <v>4</v>
      </c>
      <c r="D138" s="10">
        <v>10</v>
      </c>
      <c r="E138" s="10"/>
      <c r="F138" s="10" t="s">
        <v>140</v>
      </c>
      <c r="G138" s="10"/>
      <c r="H138" s="10">
        <v>2</v>
      </c>
      <c r="I138" s="12">
        <v>8</v>
      </c>
      <c r="J138" s="13">
        <v>10</v>
      </c>
      <c r="K138" s="12"/>
      <c r="L138" s="106">
        <v>8</v>
      </c>
      <c r="M138" s="107">
        <v>10</v>
      </c>
      <c r="N138" s="106"/>
      <c r="O138" s="12">
        <v>10</v>
      </c>
      <c r="P138" s="13">
        <v>10</v>
      </c>
      <c r="Q138" s="12"/>
      <c r="R138" s="106">
        <v>10</v>
      </c>
      <c r="S138" s="107">
        <v>10</v>
      </c>
      <c r="T138" s="106"/>
      <c r="U138" s="33"/>
      <c r="V138" s="33"/>
      <c r="W138" s="33"/>
      <c r="X138" s="14"/>
      <c r="Y138" s="10"/>
      <c r="Z138" s="10"/>
      <c r="AA138" s="38">
        <f t="shared" si="23"/>
        <v>360</v>
      </c>
      <c r="AB138" s="17" t="e">
        <f t="shared" si="22"/>
        <v>#DIV/0!</v>
      </c>
    </row>
    <row r="139" spans="2:28" x14ac:dyDescent="0.2">
      <c r="B139" s="10" t="s">
        <v>62</v>
      </c>
      <c r="C139" s="11">
        <v>2</v>
      </c>
      <c r="D139" s="11">
        <v>10</v>
      </c>
      <c r="E139" s="11"/>
      <c r="F139" s="10" t="s">
        <v>140</v>
      </c>
      <c r="G139" s="10"/>
      <c r="H139" s="11">
        <v>1</v>
      </c>
      <c r="I139" s="12">
        <v>10</v>
      </c>
      <c r="J139" s="13">
        <v>10</v>
      </c>
      <c r="K139" s="12"/>
      <c r="L139" s="106">
        <v>10</v>
      </c>
      <c r="M139" s="107">
        <v>10</v>
      </c>
      <c r="N139" s="106"/>
      <c r="O139" s="12"/>
      <c r="P139" s="13"/>
      <c r="Q139" s="12"/>
      <c r="R139" s="106"/>
      <c r="S139" s="107"/>
      <c r="T139" s="106"/>
      <c r="U139" s="35"/>
      <c r="V139" s="35"/>
      <c r="W139" s="35"/>
      <c r="X139" s="20"/>
      <c r="Y139" s="11"/>
      <c r="Z139" s="11"/>
      <c r="AA139" s="38">
        <f>SUM(I139*J139)+(L139*M139)+(O139*P139)+(R139*S139)+(U139*V139)+(X139*Y139)</f>
        <v>200</v>
      </c>
      <c r="AB139" s="17" t="e">
        <f>AVERAGE(K139,N139,Q139,T139,W139,Z139)</f>
        <v>#DIV/0!</v>
      </c>
    </row>
    <row r="140" spans="2:28" x14ac:dyDescent="0.2">
      <c r="B140" s="10" t="s">
        <v>63</v>
      </c>
      <c r="C140" s="10">
        <v>3</v>
      </c>
      <c r="D140" s="10">
        <v>8</v>
      </c>
      <c r="E140" s="10"/>
      <c r="F140" s="10" t="s">
        <v>140</v>
      </c>
      <c r="G140" s="10"/>
      <c r="H140" s="10">
        <v>2</v>
      </c>
      <c r="I140" s="12">
        <v>12</v>
      </c>
      <c r="J140" s="13">
        <v>8</v>
      </c>
      <c r="K140" s="12"/>
      <c r="L140" s="106">
        <v>12</v>
      </c>
      <c r="M140" s="107">
        <v>8</v>
      </c>
      <c r="N140" s="106"/>
      <c r="O140" s="12">
        <v>12</v>
      </c>
      <c r="P140" s="13">
        <v>8</v>
      </c>
      <c r="Q140" s="12"/>
      <c r="R140" s="106"/>
      <c r="S140" s="107"/>
      <c r="T140" s="106"/>
      <c r="U140" s="35"/>
      <c r="V140" s="35"/>
      <c r="W140" s="35"/>
      <c r="X140" s="20"/>
      <c r="Y140" s="11"/>
      <c r="Z140" s="11"/>
      <c r="AA140" s="38">
        <f>SUM(I140*J140)+(L140*M140)+(O140*P140)+(R140*S140)+(U140*V140)+(X140*Y140)</f>
        <v>288</v>
      </c>
      <c r="AB140" s="17" t="e">
        <f>AVERAGE(K140,N140,Q140,T140,W140,Z140)</f>
        <v>#DIV/0!</v>
      </c>
    </row>
    <row r="141" spans="2:28" x14ac:dyDescent="0.2">
      <c r="B141" s="10" t="s">
        <v>64</v>
      </c>
      <c r="C141" s="11">
        <v>4</v>
      </c>
      <c r="D141" s="11">
        <v>8</v>
      </c>
      <c r="E141" s="11"/>
      <c r="F141" s="10" t="s">
        <v>140</v>
      </c>
      <c r="G141" s="10"/>
      <c r="H141" s="11">
        <v>1</v>
      </c>
      <c r="I141" s="12">
        <v>12</v>
      </c>
      <c r="J141" s="13">
        <v>8</v>
      </c>
      <c r="K141" s="12"/>
      <c r="L141" s="106">
        <v>12</v>
      </c>
      <c r="M141" s="107">
        <v>8</v>
      </c>
      <c r="N141" s="106"/>
      <c r="O141" s="12">
        <v>12</v>
      </c>
      <c r="P141" s="13">
        <v>8</v>
      </c>
      <c r="Q141" s="12"/>
      <c r="R141" s="106">
        <v>12</v>
      </c>
      <c r="S141" s="107">
        <v>8</v>
      </c>
      <c r="T141" s="106"/>
      <c r="U141" s="35"/>
      <c r="V141" s="35"/>
      <c r="W141" s="35"/>
      <c r="X141" s="20"/>
      <c r="Y141" s="11"/>
      <c r="Z141" s="11"/>
      <c r="AA141" s="38">
        <f>SUM(I141*J141)+(L141*M141)+(O141*P141)+(R141*S141)+(U141*V141)+(X141*Y141)</f>
        <v>384</v>
      </c>
      <c r="AB141" s="17" t="e">
        <f>AVERAGE(K141,N141,Q141,T141,W141,Z141)</f>
        <v>#DIV/0!</v>
      </c>
    </row>
    <row r="142" spans="2:28" hidden="1" x14ac:dyDescent="0.2">
      <c r="B142" s="10" t="s">
        <v>137</v>
      </c>
      <c r="C142" s="89">
        <v>3</v>
      </c>
      <c r="D142" s="11">
        <v>8</v>
      </c>
      <c r="E142" s="11"/>
      <c r="F142" s="92" t="s">
        <v>157</v>
      </c>
      <c r="G142" s="11"/>
      <c r="H142" s="11">
        <v>8</v>
      </c>
      <c r="I142" s="12"/>
      <c r="J142" s="13"/>
      <c r="K142" s="12"/>
      <c r="L142" s="106"/>
      <c r="M142" s="107"/>
      <c r="N142" s="106"/>
      <c r="O142" s="12"/>
      <c r="P142" s="13"/>
      <c r="Q142" s="12"/>
      <c r="R142" s="106"/>
      <c r="S142" s="107"/>
      <c r="T142" s="106"/>
      <c r="U142" s="35"/>
      <c r="V142" s="35"/>
      <c r="W142" s="35"/>
      <c r="X142" s="20"/>
      <c r="Y142" s="11"/>
      <c r="Z142" s="11"/>
      <c r="AA142" s="38">
        <f>SUM(I142*J142)+(L142*M142)+(O142*P142)+(R142*S142)+(U142*V142)+(X142*Y142)</f>
        <v>0</v>
      </c>
      <c r="AB142" s="17" t="e">
        <f>AVERAGE(K142,N142,Q142,T142,W142,Z142)</f>
        <v>#DIV/0!</v>
      </c>
    </row>
    <row r="143" spans="2:28" hidden="1" x14ac:dyDescent="0.2">
      <c r="B143" s="10" t="s">
        <v>139</v>
      </c>
      <c r="C143" s="140">
        <v>2</v>
      </c>
      <c r="D143" s="11">
        <v>8</v>
      </c>
      <c r="E143" s="11"/>
      <c r="F143" s="92" t="s">
        <v>157</v>
      </c>
      <c r="G143" s="11"/>
      <c r="H143" s="11">
        <v>9</v>
      </c>
      <c r="I143" s="12"/>
      <c r="J143" s="13"/>
      <c r="K143" s="12"/>
      <c r="L143" s="106"/>
      <c r="M143" s="107"/>
      <c r="N143" s="106"/>
      <c r="O143" s="12"/>
      <c r="P143" s="13"/>
      <c r="Q143" s="12"/>
      <c r="R143" s="106"/>
      <c r="S143" s="107"/>
      <c r="T143" s="106"/>
      <c r="U143" s="35"/>
      <c r="V143" s="35"/>
      <c r="W143" s="35"/>
      <c r="X143" s="20"/>
      <c r="Y143" s="11"/>
      <c r="Z143" s="11"/>
      <c r="AA143" s="39">
        <f t="shared" si="23"/>
        <v>0</v>
      </c>
      <c r="AB143" s="17" t="e">
        <f t="shared" si="22"/>
        <v>#DIV/0!</v>
      </c>
    </row>
    <row r="144" spans="2:28" x14ac:dyDescent="0.2">
      <c r="B144" s="214" t="str">
        <f>'Exercise Selection'!B6</f>
        <v>(C2) Face Pulls</v>
      </c>
      <c r="C144" s="215"/>
      <c r="D144" s="215"/>
      <c r="E144" s="215"/>
      <c r="F144" s="215"/>
      <c r="G144" s="215"/>
      <c r="H144" s="215"/>
      <c r="I144" s="202" t="s">
        <v>119</v>
      </c>
      <c r="J144" s="203"/>
      <c r="K144" s="203"/>
      <c r="L144" s="202" t="s">
        <v>120</v>
      </c>
      <c r="M144" s="203"/>
      <c r="N144" s="203"/>
      <c r="O144" s="202" t="s">
        <v>121</v>
      </c>
      <c r="P144" s="203"/>
      <c r="Q144" s="203"/>
      <c r="R144" s="202" t="s">
        <v>122</v>
      </c>
      <c r="S144" s="203"/>
      <c r="T144" s="203"/>
      <c r="U144" s="202" t="s">
        <v>123</v>
      </c>
      <c r="V144" s="203"/>
      <c r="W144" s="203"/>
      <c r="X144" s="202" t="s">
        <v>124</v>
      </c>
      <c r="Y144" s="203"/>
      <c r="Z144" s="203"/>
      <c r="AA144" s="202" t="s">
        <v>126</v>
      </c>
      <c r="AB144" s="212" t="s">
        <v>127</v>
      </c>
    </row>
    <row r="145" spans="2:28" x14ac:dyDescent="0.2">
      <c r="B145" s="202"/>
      <c r="C145" s="203"/>
      <c r="D145" s="203"/>
      <c r="E145" s="203"/>
      <c r="F145" s="203"/>
      <c r="G145" s="203"/>
      <c r="H145" s="203"/>
      <c r="I145" s="148"/>
      <c r="J145" s="148"/>
      <c r="K145" s="148"/>
      <c r="L145" s="148"/>
      <c r="M145" s="148"/>
      <c r="N145" s="148"/>
      <c r="O145" s="148"/>
      <c r="P145" s="148"/>
      <c r="Q145" s="148"/>
      <c r="R145" s="148"/>
      <c r="S145" s="148"/>
      <c r="T145" s="148"/>
      <c r="U145" s="148"/>
      <c r="V145" s="148"/>
      <c r="W145" s="148"/>
      <c r="X145" s="148"/>
      <c r="Y145" s="148"/>
      <c r="Z145" s="148"/>
      <c r="AA145" s="203"/>
      <c r="AB145" s="213"/>
    </row>
    <row r="146" spans="2:28" s="111" customFormat="1" x14ac:dyDescent="0.2">
      <c r="B146" s="80" t="s">
        <v>128</v>
      </c>
      <c r="C146" s="80" t="s">
        <v>129</v>
      </c>
      <c r="D146" s="80" t="s">
        <v>38</v>
      </c>
      <c r="E146" s="80" t="s">
        <v>158</v>
      </c>
      <c r="F146" s="80" t="s">
        <v>131</v>
      </c>
      <c r="G146" s="81" t="s">
        <v>132</v>
      </c>
      <c r="H146" s="81" t="s">
        <v>133</v>
      </c>
      <c r="I146" s="83" t="s">
        <v>134</v>
      </c>
      <c r="J146" s="83" t="s">
        <v>135</v>
      </c>
      <c r="K146" s="83" t="s">
        <v>133</v>
      </c>
      <c r="L146" s="83" t="s">
        <v>134</v>
      </c>
      <c r="M146" s="83" t="s">
        <v>135</v>
      </c>
      <c r="N146" s="83" t="s">
        <v>133</v>
      </c>
      <c r="O146" s="83" t="s">
        <v>134</v>
      </c>
      <c r="P146" s="83" t="s">
        <v>135</v>
      </c>
      <c r="Q146" s="83" t="s">
        <v>133</v>
      </c>
      <c r="R146" s="83" t="s">
        <v>134</v>
      </c>
      <c r="S146" s="83" t="s">
        <v>135</v>
      </c>
      <c r="T146" s="83" t="s">
        <v>133</v>
      </c>
      <c r="U146" s="83" t="s">
        <v>134</v>
      </c>
      <c r="V146" s="83" t="s">
        <v>135</v>
      </c>
      <c r="W146" s="83" t="s">
        <v>133</v>
      </c>
      <c r="X146" s="83" t="s">
        <v>134</v>
      </c>
      <c r="Y146" s="83" t="s">
        <v>135</v>
      </c>
      <c r="Z146" s="84" t="s">
        <v>133</v>
      </c>
      <c r="AA146" s="203"/>
      <c r="AB146" s="213"/>
    </row>
    <row r="147" spans="2:28" x14ac:dyDescent="0.2">
      <c r="B147" s="10" t="s">
        <v>59</v>
      </c>
      <c r="C147" s="10">
        <v>2</v>
      </c>
      <c r="D147" s="10">
        <v>12</v>
      </c>
      <c r="E147" s="10"/>
      <c r="F147" s="10" t="s">
        <v>140</v>
      </c>
      <c r="G147" s="10"/>
      <c r="H147" s="10">
        <v>2</v>
      </c>
      <c r="I147" s="12">
        <v>23</v>
      </c>
      <c r="J147" s="13">
        <v>12</v>
      </c>
      <c r="K147" s="12"/>
      <c r="L147" s="106">
        <v>27</v>
      </c>
      <c r="M147" s="107">
        <v>12</v>
      </c>
      <c r="N147" s="106"/>
      <c r="O147" s="12"/>
      <c r="P147" s="13"/>
      <c r="Q147" s="12"/>
      <c r="R147" s="106"/>
      <c r="S147" s="107"/>
      <c r="T147" s="106"/>
      <c r="U147" s="33"/>
      <c r="V147" s="34"/>
      <c r="W147" s="33"/>
      <c r="X147" s="14"/>
      <c r="Y147" s="10"/>
      <c r="Z147" s="10"/>
      <c r="AA147" s="37">
        <f t="shared" ref="AA147:AA154" si="24">SUM(I147*J147)+(L147*M147)+(O147*P147)+(R147*S147)+(U147*V147)+(X147*Y147)</f>
        <v>600</v>
      </c>
      <c r="AB147" s="17" t="e">
        <f t="shared" ref="AB147:AB154" si="25">AVERAGE(K147,N147,Q147,T147,W147,Z147)</f>
        <v>#DIV/0!</v>
      </c>
    </row>
    <row r="148" spans="2:28" x14ac:dyDescent="0.2">
      <c r="B148" s="10" t="s">
        <v>60</v>
      </c>
      <c r="C148" s="10">
        <v>3</v>
      </c>
      <c r="D148" s="10">
        <v>12</v>
      </c>
      <c r="E148" s="10"/>
      <c r="F148" s="10" t="s">
        <v>140</v>
      </c>
      <c r="G148" s="10"/>
      <c r="H148" s="10">
        <v>1</v>
      </c>
      <c r="I148" s="12">
        <v>27</v>
      </c>
      <c r="J148" s="13">
        <v>12</v>
      </c>
      <c r="K148" s="12"/>
      <c r="L148" s="106">
        <v>27</v>
      </c>
      <c r="M148" s="107">
        <v>12</v>
      </c>
      <c r="N148" s="106"/>
      <c r="O148" s="12">
        <v>27</v>
      </c>
      <c r="P148" s="13">
        <v>12</v>
      </c>
      <c r="Q148" s="12"/>
      <c r="R148" s="106"/>
      <c r="S148" s="107"/>
      <c r="T148" s="106"/>
      <c r="U148" s="33"/>
      <c r="V148" s="33"/>
      <c r="W148" s="33"/>
      <c r="X148" s="14"/>
      <c r="Y148" s="10"/>
      <c r="Z148" s="10"/>
      <c r="AA148" s="38">
        <f t="shared" si="24"/>
        <v>972</v>
      </c>
      <c r="AB148" s="17" t="e">
        <f t="shared" si="25"/>
        <v>#DIV/0!</v>
      </c>
    </row>
    <row r="149" spans="2:28" x14ac:dyDescent="0.2">
      <c r="B149" s="10" t="s">
        <v>61</v>
      </c>
      <c r="C149" s="10">
        <v>4</v>
      </c>
      <c r="D149" s="10">
        <v>10</v>
      </c>
      <c r="E149" s="10"/>
      <c r="F149" s="10" t="s">
        <v>140</v>
      </c>
      <c r="G149" s="10"/>
      <c r="H149" s="10">
        <v>2</v>
      </c>
      <c r="I149" s="12">
        <v>27</v>
      </c>
      <c r="J149" s="13">
        <v>10</v>
      </c>
      <c r="K149" s="12"/>
      <c r="L149" s="106">
        <v>27</v>
      </c>
      <c r="M149" s="107">
        <v>10</v>
      </c>
      <c r="N149" s="106"/>
      <c r="O149" s="12">
        <v>27</v>
      </c>
      <c r="P149" s="13">
        <v>10</v>
      </c>
      <c r="Q149" s="12"/>
      <c r="R149" s="106">
        <v>27</v>
      </c>
      <c r="S149" s="107">
        <v>10</v>
      </c>
      <c r="T149" s="106"/>
      <c r="U149" s="33"/>
      <c r="V149" s="33"/>
      <c r="W149" s="33"/>
      <c r="X149" s="14"/>
      <c r="Y149" s="10"/>
      <c r="Z149" s="10"/>
      <c r="AA149" s="38">
        <f t="shared" si="24"/>
        <v>1080</v>
      </c>
      <c r="AB149" s="17" t="e">
        <f t="shared" si="25"/>
        <v>#DIV/0!</v>
      </c>
    </row>
    <row r="150" spans="2:28" x14ac:dyDescent="0.2">
      <c r="B150" s="10" t="s">
        <v>62</v>
      </c>
      <c r="C150" s="11">
        <v>2</v>
      </c>
      <c r="D150" s="11">
        <v>10</v>
      </c>
      <c r="E150" s="11"/>
      <c r="F150" s="10" t="s">
        <v>140</v>
      </c>
      <c r="G150" s="10"/>
      <c r="H150" s="11">
        <v>1</v>
      </c>
      <c r="I150" s="12">
        <v>27</v>
      </c>
      <c r="J150" s="13">
        <v>10</v>
      </c>
      <c r="K150" s="12"/>
      <c r="L150" s="106">
        <v>27</v>
      </c>
      <c r="M150" s="107">
        <v>10</v>
      </c>
      <c r="N150" s="106"/>
      <c r="O150" s="12"/>
      <c r="P150" s="13"/>
      <c r="Q150" s="12"/>
      <c r="R150" s="106"/>
      <c r="S150" s="107"/>
      <c r="T150" s="106"/>
      <c r="U150" s="35"/>
      <c r="V150" s="35"/>
      <c r="W150" s="35"/>
      <c r="X150" s="20"/>
      <c r="Y150" s="11"/>
      <c r="Z150" s="11"/>
      <c r="AA150" s="38">
        <f t="shared" si="24"/>
        <v>540</v>
      </c>
      <c r="AB150" s="17" t="e">
        <f t="shared" si="25"/>
        <v>#DIV/0!</v>
      </c>
    </row>
    <row r="151" spans="2:28" x14ac:dyDescent="0.2">
      <c r="B151" s="10" t="s">
        <v>63</v>
      </c>
      <c r="C151" s="10">
        <v>3</v>
      </c>
      <c r="D151" s="10">
        <v>8</v>
      </c>
      <c r="E151" s="10"/>
      <c r="F151" s="10" t="s">
        <v>140</v>
      </c>
      <c r="G151" s="10"/>
      <c r="H151" s="10">
        <v>2</v>
      </c>
      <c r="I151" s="12">
        <v>27</v>
      </c>
      <c r="J151" s="13">
        <v>8</v>
      </c>
      <c r="K151" s="12"/>
      <c r="L151" s="106">
        <v>32</v>
      </c>
      <c r="M151" s="107">
        <v>8</v>
      </c>
      <c r="N151" s="106"/>
      <c r="O151" s="12">
        <v>32</v>
      </c>
      <c r="P151" s="13">
        <v>8</v>
      </c>
      <c r="Q151" s="12"/>
      <c r="R151" s="106"/>
      <c r="S151" s="107"/>
      <c r="T151" s="106"/>
      <c r="U151" s="35"/>
      <c r="V151" s="35"/>
      <c r="W151" s="35"/>
      <c r="X151" s="20"/>
      <c r="Y151" s="11"/>
      <c r="Z151" s="11"/>
      <c r="AA151" s="38">
        <f t="shared" si="24"/>
        <v>728</v>
      </c>
      <c r="AB151" s="17" t="e">
        <f t="shared" si="25"/>
        <v>#DIV/0!</v>
      </c>
    </row>
    <row r="152" spans="2:28" x14ac:dyDescent="0.2">
      <c r="B152" s="10" t="s">
        <v>64</v>
      </c>
      <c r="C152" s="11">
        <v>4</v>
      </c>
      <c r="D152" s="11">
        <v>8</v>
      </c>
      <c r="E152" s="11"/>
      <c r="F152" s="10" t="s">
        <v>140</v>
      </c>
      <c r="G152" s="10"/>
      <c r="H152" s="11">
        <v>1</v>
      </c>
      <c r="I152" s="12">
        <v>32</v>
      </c>
      <c r="J152" s="13">
        <v>8</v>
      </c>
      <c r="K152" s="12"/>
      <c r="L152" s="106">
        <v>32</v>
      </c>
      <c r="M152" s="107">
        <v>8</v>
      </c>
      <c r="N152" s="106"/>
      <c r="O152" s="12">
        <v>32</v>
      </c>
      <c r="P152" s="13">
        <v>8</v>
      </c>
      <c r="Q152" s="12"/>
      <c r="R152" s="106">
        <v>32</v>
      </c>
      <c r="S152" s="107">
        <v>8</v>
      </c>
      <c r="T152" s="106"/>
      <c r="U152" s="35"/>
      <c r="V152" s="35"/>
      <c r="W152" s="35"/>
      <c r="X152" s="20"/>
      <c r="Y152" s="11"/>
      <c r="Z152" s="11"/>
      <c r="AA152" s="38">
        <f t="shared" si="24"/>
        <v>1024</v>
      </c>
      <c r="AB152" s="17" t="e">
        <f t="shared" si="25"/>
        <v>#DIV/0!</v>
      </c>
    </row>
    <row r="153" spans="2:28" hidden="1" x14ac:dyDescent="0.2">
      <c r="B153" s="10" t="s">
        <v>137</v>
      </c>
      <c r="C153" s="89">
        <v>3</v>
      </c>
      <c r="D153" s="11">
        <v>8</v>
      </c>
      <c r="E153" s="11"/>
      <c r="F153" s="92" t="s">
        <v>157</v>
      </c>
      <c r="G153" s="11"/>
      <c r="H153" s="11">
        <v>8</v>
      </c>
      <c r="I153" s="12"/>
      <c r="J153" s="13"/>
      <c r="K153" s="12"/>
      <c r="L153" s="106"/>
      <c r="M153" s="107"/>
      <c r="N153" s="106"/>
      <c r="O153" s="12"/>
      <c r="P153" s="13"/>
      <c r="Q153" s="12"/>
      <c r="R153" s="106"/>
      <c r="S153" s="107"/>
      <c r="T153" s="106"/>
      <c r="U153" s="35"/>
      <c r="V153" s="35"/>
      <c r="W153" s="35"/>
      <c r="X153" s="20"/>
      <c r="Y153" s="11"/>
      <c r="Z153" s="11"/>
      <c r="AA153" s="38">
        <f t="shared" si="24"/>
        <v>0</v>
      </c>
      <c r="AB153" s="17" t="e">
        <f t="shared" si="25"/>
        <v>#DIV/0!</v>
      </c>
    </row>
    <row r="154" spans="2:28" hidden="1" x14ac:dyDescent="0.2">
      <c r="B154" s="10" t="s">
        <v>139</v>
      </c>
      <c r="C154" s="140">
        <v>2</v>
      </c>
      <c r="D154" s="11">
        <v>8</v>
      </c>
      <c r="E154" s="11"/>
      <c r="F154" s="92" t="s">
        <v>157</v>
      </c>
      <c r="G154" s="11"/>
      <c r="H154" s="11">
        <v>9</v>
      </c>
      <c r="I154" s="12"/>
      <c r="J154" s="13"/>
      <c r="K154" s="12"/>
      <c r="L154" s="106"/>
      <c r="M154" s="107"/>
      <c r="N154" s="106"/>
      <c r="O154" s="12"/>
      <c r="P154" s="13"/>
      <c r="Q154" s="12"/>
      <c r="R154" s="106"/>
      <c r="S154" s="107"/>
      <c r="T154" s="106"/>
      <c r="U154" s="35"/>
      <c r="V154" s="35"/>
      <c r="W154" s="35"/>
      <c r="X154" s="20"/>
      <c r="Y154" s="11"/>
      <c r="Z154" s="11"/>
      <c r="AA154" s="39">
        <f t="shared" si="24"/>
        <v>0</v>
      </c>
      <c r="AB154" s="17" t="e">
        <f t="shared" si="25"/>
        <v>#DIV/0!</v>
      </c>
    </row>
    <row r="155" spans="2:28" x14ac:dyDescent="0.2">
      <c r="B155" s="206" t="str">
        <f>'Exercise Selection'!B7</f>
        <v>(D1) Hammer Curl</v>
      </c>
      <c r="C155" s="207"/>
      <c r="D155" s="207"/>
      <c r="E155" s="207"/>
      <c r="F155" s="207"/>
      <c r="G155" s="207"/>
      <c r="H155" s="207"/>
      <c r="I155" s="202" t="s">
        <v>119</v>
      </c>
      <c r="J155" s="203"/>
      <c r="K155" s="203"/>
      <c r="L155" s="202" t="s">
        <v>120</v>
      </c>
      <c r="M155" s="203"/>
      <c r="N155" s="203"/>
      <c r="O155" s="202" t="s">
        <v>121</v>
      </c>
      <c r="P155" s="203"/>
      <c r="Q155" s="203"/>
      <c r="R155" s="202" t="s">
        <v>122</v>
      </c>
      <c r="S155" s="203"/>
      <c r="T155" s="203"/>
      <c r="U155" s="202" t="s">
        <v>123</v>
      </c>
      <c r="V155" s="203"/>
      <c r="W155" s="203"/>
      <c r="X155" s="202" t="s">
        <v>124</v>
      </c>
      <c r="Y155" s="203"/>
      <c r="Z155" s="203"/>
      <c r="AA155" s="202" t="s">
        <v>126</v>
      </c>
      <c r="AB155" s="212" t="s">
        <v>127</v>
      </c>
    </row>
    <row r="156" spans="2:28" x14ac:dyDescent="0.2">
      <c r="B156" s="202"/>
      <c r="C156" s="203"/>
      <c r="D156" s="203"/>
      <c r="E156" s="203"/>
      <c r="F156" s="203"/>
      <c r="G156" s="203"/>
      <c r="H156" s="203"/>
      <c r="I156" s="148"/>
      <c r="J156" s="148"/>
      <c r="K156" s="148"/>
      <c r="L156" s="148"/>
      <c r="M156" s="148"/>
      <c r="N156" s="148"/>
      <c r="O156" s="148"/>
      <c r="P156" s="148"/>
      <c r="Q156" s="148"/>
      <c r="R156" s="148"/>
      <c r="S156" s="148"/>
      <c r="T156" s="148"/>
      <c r="U156" s="148"/>
      <c r="V156" s="148"/>
      <c r="W156" s="148"/>
      <c r="X156" s="148"/>
      <c r="Y156" s="148"/>
      <c r="Z156" s="148"/>
      <c r="AA156" s="203"/>
      <c r="AB156" s="213"/>
    </row>
    <row r="157" spans="2:28" s="111" customFormat="1" x14ac:dyDescent="0.2">
      <c r="B157" s="80" t="s">
        <v>128</v>
      </c>
      <c r="C157" s="80" t="s">
        <v>129</v>
      </c>
      <c r="D157" s="80" t="s">
        <v>38</v>
      </c>
      <c r="E157" s="80" t="s">
        <v>130</v>
      </c>
      <c r="F157" s="80" t="s">
        <v>131</v>
      </c>
      <c r="G157" s="81" t="s">
        <v>132</v>
      </c>
      <c r="H157" s="81" t="s">
        <v>133</v>
      </c>
      <c r="I157" s="83" t="s">
        <v>134</v>
      </c>
      <c r="J157" s="83" t="s">
        <v>135</v>
      </c>
      <c r="K157" s="83" t="s">
        <v>133</v>
      </c>
      <c r="L157" s="83" t="s">
        <v>134</v>
      </c>
      <c r="M157" s="83" t="s">
        <v>135</v>
      </c>
      <c r="N157" s="83" t="s">
        <v>133</v>
      </c>
      <c r="O157" s="83" t="s">
        <v>134</v>
      </c>
      <c r="P157" s="83" t="s">
        <v>135</v>
      </c>
      <c r="Q157" s="83" t="s">
        <v>133</v>
      </c>
      <c r="R157" s="83" t="s">
        <v>134</v>
      </c>
      <c r="S157" s="83" t="s">
        <v>135</v>
      </c>
      <c r="T157" s="83" t="s">
        <v>133</v>
      </c>
      <c r="U157" s="83" t="s">
        <v>134</v>
      </c>
      <c r="V157" s="83" t="s">
        <v>135</v>
      </c>
      <c r="W157" s="83" t="s">
        <v>133</v>
      </c>
      <c r="X157" s="83" t="s">
        <v>134</v>
      </c>
      <c r="Y157" s="83" t="s">
        <v>135</v>
      </c>
      <c r="Z157" s="84" t="s">
        <v>133</v>
      </c>
      <c r="AA157" s="203"/>
      <c r="AB157" s="213"/>
    </row>
    <row r="158" spans="2:28" x14ac:dyDescent="0.2">
      <c r="B158" s="10" t="s">
        <v>59</v>
      </c>
      <c r="C158" s="10">
        <v>2</v>
      </c>
      <c r="D158" s="10">
        <v>12</v>
      </c>
      <c r="E158" s="10"/>
      <c r="F158" s="10" t="s">
        <v>140</v>
      </c>
      <c r="G158" s="10"/>
      <c r="H158" s="10">
        <v>2</v>
      </c>
      <c r="I158" s="12">
        <v>16</v>
      </c>
      <c r="J158" s="13">
        <v>12</v>
      </c>
      <c r="K158" s="12"/>
      <c r="L158" s="106">
        <v>16</v>
      </c>
      <c r="M158" s="107">
        <v>12</v>
      </c>
      <c r="N158" s="106"/>
      <c r="O158" s="12"/>
      <c r="P158" s="13"/>
      <c r="Q158" s="12"/>
      <c r="R158" s="106"/>
      <c r="S158" s="107"/>
      <c r="T158" s="106"/>
      <c r="U158" s="33"/>
      <c r="V158" s="34"/>
      <c r="W158" s="33"/>
      <c r="X158" s="14"/>
      <c r="Y158" s="10"/>
      <c r="Z158" s="10"/>
      <c r="AA158" s="37">
        <f>SUM(I158*J158)+(L158*M158)+(O158*P158)+(R158*S158)+(U158*V158)+(X158*Y158)</f>
        <v>384</v>
      </c>
      <c r="AB158" s="17" t="e">
        <f t="shared" ref="AB158:AB165" si="26">AVERAGE(K158,N158,Q158,T158,W158,Z158)</f>
        <v>#DIV/0!</v>
      </c>
    </row>
    <row r="159" spans="2:28" x14ac:dyDescent="0.2">
      <c r="B159" s="10" t="s">
        <v>60</v>
      </c>
      <c r="C159" s="10">
        <v>3</v>
      </c>
      <c r="D159" s="10">
        <v>12</v>
      </c>
      <c r="E159" s="10"/>
      <c r="F159" s="10" t="s">
        <v>140</v>
      </c>
      <c r="G159" s="10"/>
      <c r="H159" s="10">
        <v>1</v>
      </c>
      <c r="I159" s="12">
        <v>16</v>
      </c>
      <c r="J159" s="13">
        <v>12</v>
      </c>
      <c r="K159" s="12"/>
      <c r="L159" s="106">
        <v>16</v>
      </c>
      <c r="M159" s="107">
        <v>12</v>
      </c>
      <c r="N159" s="106"/>
      <c r="O159" s="12">
        <v>16</v>
      </c>
      <c r="P159" s="13">
        <v>12</v>
      </c>
      <c r="Q159" s="12"/>
      <c r="R159" s="106"/>
      <c r="S159" s="107"/>
      <c r="T159" s="106"/>
      <c r="U159" s="33"/>
      <c r="V159" s="33"/>
      <c r="W159" s="33"/>
      <c r="X159" s="14"/>
      <c r="Y159" s="10"/>
      <c r="Z159" s="10"/>
      <c r="AA159" s="38">
        <f t="shared" ref="AA159:AA165" si="27">SUM(I159*J159)+(L159*M159)+(O159*P159)+(R159*S159)+(U159*V159)+(X159*Y159)</f>
        <v>576</v>
      </c>
      <c r="AB159" s="17" t="e">
        <f t="shared" si="26"/>
        <v>#DIV/0!</v>
      </c>
    </row>
    <row r="160" spans="2:28" x14ac:dyDescent="0.2">
      <c r="B160" s="10" t="s">
        <v>61</v>
      </c>
      <c r="C160" s="10">
        <v>4</v>
      </c>
      <c r="D160" s="10">
        <v>10</v>
      </c>
      <c r="E160" s="10"/>
      <c r="F160" s="10" t="s">
        <v>140</v>
      </c>
      <c r="G160" s="10"/>
      <c r="H160" s="10">
        <v>2</v>
      </c>
      <c r="I160" s="12">
        <v>16</v>
      </c>
      <c r="J160" s="13">
        <v>10</v>
      </c>
      <c r="K160" s="12"/>
      <c r="L160" s="106">
        <v>16</v>
      </c>
      <c r="M160" s="107">
        <v>10</v>
      </c>
      <c r="N160" s="106"/>
      <c r="O160" s="12">
        <v>16</v>
      </c>
      <c r="P160" s="13">
        <v>10</v>
      </c>
      <c r="Q160" s="12"/>
      <c r="R160" s="106">
        <v>20</v>
      </c>
      <c r="S160" s="107">
        <v>10</v>
      </c>
      <c r="T160" s="106"/>
      <c r="U160" s="33"/>
      <c r="V160" s="33"/>
      <c r="W160" s="33"/>
      <c r="X160" s="14"/>
      <c r="Y160" s="10"/>
      <c r="Z160" s="10"/>
      <c r="AA160" s="38">
        <f t="shared" si="27"/>
        <v>680</v>
      </c>
      <c r="AB160" s="17" t="e">
        <f t="shared" si="26"/>
        <v>#DIV/0!</v>
      </c>
    </row>
    <row r="161" spans="2:28" x14ac:dyDescent="0.2">
      <c r="B161" s="10" t="s">
        <v>62</v>
      </c>
      <c r="C161" s="11">
        <v>2</v>
      </c>
      <c r="D161" s="11">
        <v>10</v>
      </c>
      <c r="E161" s="11"/>
      <c r="F161" s="10" t="s">
        <v>140</v>
      </c>
      <c r="G161" s="10"/>
      <c r="H161" s="11">
        <v>1</v>
      </c>
      <c r="I161" s="12">
        <v>20</v>
      </c>
      <c r="J161" s="13">
        <v>10</v>
      </c>
      <c r="K161" s="12"/>
      <c r="L161" s="106">
        <v>22</v>
      </c>
      <c r="M161" s="107">
        <v>10</v>
      </c>
      <c r="N161" s="106"/>
      <c r="O161" s="12"/>
      <c r="P161" s="13"/>
      <c r="Q161" s="12"/>
      <c r="R161" s="106"/>
      <c r="S161" s="107"/>
      <c r="T161" s="106"/>
      <c r="U161" s="35"/>
      <c r="V161" s="35"/>
      <c r="W161" s="35"/>
      <c r="X161" s="20"/>
      <c r="Y161" s="11"/>
      <c r="Z161" s="11"/>
      <c r="AA161" s="38">
        <f>SUM(I161*J161)+(L161*M161)+(O161*P161)+(R161*S161)+(U161*V161)+(X161*Y161)</f>
        <v>420</v>
      </c>
      <c r="AB161" s="17" t="e">
        <f>AVERAGE(K161,N161,Q161,T161,W161,Z161)</f>
        <v>#DIV/0!</v>
      </c>
    </row>
    <row r="162" spans="2:28" x14ac:dyDescent="0.2">
      <c r="B162" s="10" t="s">
        <v>63</v>
      </c>
      <c r="C162" s="10">
        <v>3</v>
      </c>
      <c r="D162" s="10">
        <v>8</v>
      </c>
      <c r="E162" s="10"/>
      <c r="F162" s="10" t="s">
        <v>140</v>
      </c>
      <c r="G162" s="10"/>
      <c r="H162" s="10">
        <v>2</v>
      </c>
      <c r="I162" s="12">
        <v>24</v>
      </c>
      <c r="J162" s="13">
        <v>8</v>
      </c>
      <c r="K162" s="12"/>
      <c r="L162" s="106">
        <v>24</v>
      </c>
      <c r="M162" s="107">
        <v>8</v>
      </c>
      <c r="N162" s="106"/>
      <c r="O162" s="12">
        <v>24</v>
      </c>
      <c r="P162" s="13">
        <v>8</v>
      </c>
      <c r="Q162" s="12"/>
      <c r="R162" s="106"/>
      <c r="S162" s="107"/>
      <c r="T162" s="106"/>
      <c r="U162" s="35"/>
      <c r="V162" s="35"/>
      <c r="W162" s="35"/>
      <c r="X162" s="20"/>
      <c r="Y162" s="11"/>
      <c r="Z162" s="11"/>
      <c r="AA162" s="38">
        <f>SUM(I162*J162)+(L162*M162)+(O162*P162)+(R162*S162)+(U162*V162)+(X162*Y162)</f>
        <v>576</v>
      </c>
      <c r="AB162" s="17" t="e">
        <f>AVERAGE(K162,N162,Q162,T162,W162,Z162)</f>
        <v>#DIV/0!</v>
      </c>
    </row>
    <row r="163" spans="2:28" x14ac:dyDescent="0.2">
      <c r="B163" s="10" t="s">
        <v>64</v>
      </c>
      <c r="C163" s="11">
        <v>4</v>
      </c>
      <c r="D163" s="11">
        <v>8</v>
      </c>
      <c r="E163" s="11"/>
      <c r="F163" s="10" t="s">
        <v>140</v>
      </c>
      <c r="G163" s="10"/>
      <c r="H163" s="11">
        <v>1</v>
      </c>
      <c r="I163" s="12">
        <v>24</v>
      </c>
      <c r="J163" s="13">
        <v>8</v>
      </c>
      <c r="K163" s="12"/>
      <c r="L163" s="106">
        <v>24</v>
      </c>
      <c r="M163" s="107">
        <v>8</v>
      </c>
      <c r="N163" s="106"/>
      <c r="O163" s="12">
        <v>24</v>
      </c>
      <c r="P163" s="13">
        <v>8</v>
      </c>
      <c r="Q163" s="12"/>
      <c r="R163" s="106">
        <v>24</v>
      </c>
      <c r="S163" s="107">
        <v>8</v>
      </c>
      <c r="T163" s="106"/>
      <c r="U163" s="35"/>
      <c r="V163" s="35"/>
      <c r="W163" s="35"/>
      <c r="X163" s="20"/>
      <c r="Y163" s="11"/>
      <c r="Z163" s="11"/>
      <c r="AA163" s="38">
        <f>SUM(I163*J163)+(L163*M163)+(O163*P163)+(R163*S163)+(U163*V163)+(X163*Y163)</f>
        <v>768</v>
      </c>
      <c r="AB163" s="17" t="e">
        <f>AVERAGE(K163,N163,Q163,T163,W163,Z163)</f>
        <v>#DIV/0!</v>
      </c>
    </row>
    <row r="164" spans="2:28" hidden="1" x14ac:dyDescent="0.2">
      <c r="B164" s="10" t="s">
        <v>137</v>
      </c>
      <c r="C164" s="89">
        <v>3</v>
      </c>
      <c r="D164" s="11">
        <v>8</v>
      </c>
      <c r="E164" s="11"/>
      <c r="F164" s="92" t="s">
        <v>157</v>
      </c>
      <c r="G164" s="11"/>
      <c r="H164" s="11">
        <v>8</v>
      </c>
      <c r="I164" s="12"/>
      <c r="J164" s="13"/>
      <c r="K164" s="12"/>
      <c r="L164" s="106"/>
      <c r="M164" s="107"/>
      <c r="N164" s="106"/>
      <c r="O164" s="12"/>
      <c r="P164" s="13"/>
      <c r="Q164" s="12"/>
      <c r="R164" s="106"/>
      <c r="S164" s="107"/>
      <c r="T164" s="106"/>
      <c r="U164" s="35"/>
      <c r="V164" s="35"/>
      <c r="W164" s="35"/>
      <c r="X164" s="20"/>
      <c r="Y164" s="11"/>
      <c r="Z164" s="11"/>
      <c r="AA164" s="38">
        <f>SUM(I164*J164)+(L164*M164)+(O164*P164)+(R164*S164)+(U164*V164)+(X164*Y164)</f>
        <v>0</v>
      </c>
      <c r="AB164" s="17" t="e">
        <f>AVERAGE(K164,N164,Q164,T164,W164,Z164)</f>
        <v>#DIV/0!</v>
      </c>
    </row>
    <row r="165" spans="2:28" hidden="1" x14ac:dyDescent="0.2">
      <c r="B165" s="10" t="s">
        <v>139</v>
      </c>
      <c r="C165" s="140">
        <v>2</v>
      </c>
      <c r="D165" s="11">
        <v>8</v>
      </c>
      <c r="E165" s="11"/>
      <c r="F165" s="92" t="s">
        <v>157</v>
      </c>
      <c r="G165" s="11"/>
      <c r="H165" s="11">
        <v>9</v>
      </c>
      <c r="I165" s="12"/>
      <c r="J165" s="13"/>
      <c r="K165" s="12"/>
      <c r="L165" s="106"/>
      <c r="M165" s="107"/>
      <c r="N165" s="106"/>
      <c r="O165" s="12"/>
      <c r="P165" s="13"/>
      <c r="Q165" s="12"/>
      <c r="R165" s="106"/>
      <c r="S165" s="107"/>
      <c r="T165" s="106"/>
      <c r="U165" s="35"/>
      <c r="V165" s="35"/>
      <c r="W165" s="35"/>
      <c r="X165" s="20"/>
      <c r="Y165" s="11"/>
      <c r="Z165" s="11"/>
      <c r="AA165" s="39">
        <f t="shared" si="27"/>
        <v>0</v>
      </c>
      <c r="AB165" s="17" t="e">
        <f t="shared" si="26"/>
        <v>#DIV/0!</v>
      </c>
    </row>
    <row r="166" spans="2:28" x14ac:dyDescent="0.2">
      <c r="B166" s="206" t="str">
        <f>'Exercise Selection'!B8</f>
        <v>(D2) Cable Tricep Push Downs</v>
      </c>
      <c r="C166" s="207"/>
      <c r="D166" s="207"/>
      <c r="E166" s="207"/>
      <c r="F166" s="207"/>
      <c r="G166" s="207"/>
      <c r="H166" s="207"/>
      <c r="I166" s="202" t="s">
        <v>119</v>
      </c>
      <c r="J166" s="203"/>
      <c r="K166" s="203"/>
      <c r="L166" s="202" t="s">
        <v>120</v>
      </c>
      <c r="M166" s="203"/>
      <c r="N166" s="203"/>
      <c r="O166" s="202" t="s">
        <v>121</v>
      </c>
      <c r="P166" s="203"/>
      <c r="Q166" s="203"/>
      <c r="R166" s="202" t="s">
        <v>122</v>
      </c>
      <c r="S166" s="203"/>
      <c r="T166" s="203"/>
      <c r="U166" s="202" t="s">
        <v>123</v>
      </c>
      <c r="V166" s="203"/>
      <c r="W166" s="203"/>
      <c r="X166" s="202" t="s">
        <v>124</v>
      </c>
      <c r="Y166" s="203"/>
      <c r="Z166" s="203"/>
      <c r="AA166" s="202" t="s">
        <v>126</v>
      </c>
      <c r="AB166" s="212" t="s">
        <v>127</v>
      </c>
    </row>
    <row r="167" spans="2:28" x14ac:dyDescent="0.2">
      <c r="B167" s="202"/>
      <c r="C167" s="203"/>
      <c r="D167" s="203"/>
      <c r="E167" s="203"/>
      <c r="F167" s="203"/>
      <c r="G167" s="203"/>
      <c r="H167" s="203"/>
      <c r="I167" s="148"/>
      <c r="J167" s="148"/>
      <c r="K167" s="148"/>
      <c r="L167" s="148"/>
      <c r="M167" s="148"/>
      <c r="N167" s="148"/>
      <c r="O167" s="148"/>
      <c r="P167" s="148"/>
      <c r="Q167" s="148"/>
      <c r="R167" s="148"/>
      <c r="S167" s="148"/>
      <c r="T167" s="148"/>
      <c r="U167" s="148"/>
      <c r="V167" s="148"/>
      <c r="W167" s="148"/>
      <c r="X167" s="148"/>
      <c r="Y167" s="148"/>
      <c r="Z167" s="148"/>
      <c r="AA167" s="203"/>
      <c r="AB167" s="213"/>
    </row>
    <row r="168" spans="2:28" s="111" customFormat="1" x14ac:dyDescent="0.2">
      <c r="B168" s="80" t="s">
        <v>128</v>
      </c>
      <c r="C168" s="80" t="s">
        <v>129</v>
      </c>
      <c r="D168" s="80" t="s">
        <v>38</v>
      </c>
      <c r="E168" s="80" t="s">
        <v>130</v>
      </c>
      <c r="F168" s="80" t="s">
        <v>131</v>
      </c>
      <c r="G168" s="81" t="s">
        <v>132</v>
      </c>
      <c r="H168" s="81" t="s">
        <v>133</v>
      </c>
      <c r="I168" s="83" t="s">
        <v>134</v>
      </c>
      <c r="J168" s="83" t="s">
        <v>135</v>
      </c>
      <c r="K168" s="83" t="s">
        <v>133</v>
      </c>
      <c r="L168" s="83" t="s">
        <v>134</v>
      </c>
      <c r="M168" s="83" t="s">
        <v>135</v>
      </c>
      <c r="N168" s="83" t="s">
        <v>133</v>
      </c>
      <c r="O168" s="83" t="s">
        <v>134</v>
      </c>
      <c r="P168" s="83" t="s">
        <v>135</v>
      </c>
      <c r="Q168" s="83" t="s">
        <v>133</v>
      </c>
      <c r="R168" s="83" t="s">
        <v>134</v>
      </c>
      <c r="S168" s="83" t="s">
        <v>135</v>
      </c>
      <c r="T168" s="83" t="s">
        <v>133</v>
      </c>
      <c r="U168" s="83" t="s">
        <v>134</v>
      </c>
      <c r="V168" s="83" t="s">
        <v>135</v>
      </c>
      <c r="W168" s="83" t="s">
        <v>133</v>
      </c>
      <c r="X168" s="83" t="s">
        <v>134</v>
      </c>
      <c r="Y168" s="83" t="s">
        <v>135</v>
      </c>
      <c r="Z168" s="84" t="s">
        <v>133</v>
      </c>
      <c r="AA168" s="203"/>
      <c r="AB168" s="213"/>
    </row>
    <row r="169" spans="2:28" x14ac:dyDescent="0.2">
      <c r="B169" s="10" t="s">
        <v>59</v>
      </c>
      <c r="C169" s="10">
        <v>2</v>
      </c>
      <c r="D169" s="10">
        <v>12</v>
      </c>
      <c r="E169" s="10"/>
      <c r="F169" s="10" t="s">
        <v>140</v>
      </c>
      <c r="G169" s="10"/>
      <c r="H169" s="10">
        <v>2</v>
      </c>
      <c r="I169" s="12">
        <v>23</v>
      </c>
      <c r="J169" s="13">
        <v>12</v>
      </c>
      <c r="K169" s="12"/>
      <c r="L169" s="106">
        <v>23</v>
      </c>
      <c r="M169" s="107">
        <v>12</v>
      </c>
      <c r="N169" s="106"/>
      <c r="O169" s="12"/>
      <c r="P169" s="13"/>
      <c r="Q169" s="12"/>
      <c r="R169" s="106"/>
      <c r="S169" s="107"/>
      <c r="T169" s="106"/>
      <c r="U169" s="33"/>
      <c r="V169" s="34"/>
      <c r="W169" s="33"/>
      <c r="X169" s="14"/>
      <c r="Y169" s="10"/>
      <c r="Z169" s="10"/>
      <c r="AA169" s="37">
        <f>SUM(I169*J169)+(L169*M169)+(O169*P169)+(R169*S169)+(U169*V169)+(X169*Y169)</f>
        <v>552</v>
      </c>
      <c r="AB169" s="17" t="e">
        <f t="shared" ref="AB169:AB176" si="28">AVERAGE(K169,N169,Q169,T169,W169,Z169)</f>
        <v>#DIV/0!</v>
      </c>
    </row>
    <row r="170" spans="2:28" x14ac:dyDescent="0.2">
      <c r="B170" s="10" t="s">
        <v>60</v>
      </c>
      <c r="C170" s="10">
        <v>3</v>
      </c>
      <c r="D170" s="10">
        <v>12</v>
      </c>
      <c r="E170" s="10"/>
      <c r="F170" s="10" t="s">
        <v>140</v>
      </c>
      <c r="G170" s="10"/>
      <c r="H170" s="10">
        <v>1</v>
      </c>
      <c r="I170" s="12">
        <v>23</v>
      </c>
      <c r="J170" s="13">
        <v>12</v>
      </c>
      <c r="K170" s="12"/>
      <c r="L170" s="106">
        <v>23</v>
      </c>
      <c r="M170" s="107">
        <v>12</v>
      </c>
      <c r="N170" s="106"/>
      <c r="O170" s="12">
        <v>23</v>
      </c>
      <c r="P170" s="13">
        <v>12</v>
      </c>
      <c r="Q170" s="12"/>
      <c r="R170" s="106"/>
      <c r="S170" s="107"/>
      <c r="T170" s="106"/>
      <c r="U170" s="33"/>
      <c r="V170" s="33"/>
      <c r="W170" s="33"/>
      <c r="X170" s="14"/>
      <c r="Y170" s="10"/>
      <c r="Z170" s="10"/>
      <c r="AA170" s="38">
        <f t="shared" ref="AA170:AA176" si="29">SUM(I170*J170)+(L170*M170)+(O170*P170)+(R170*S170)+(U170*V170)+(X170*Y170)</f>
        <v>828</v>
      </c>
      <c r="AB170" s="17" t="e">
        <f t="shared" si="28"/>
        <v>#DIV/0!</v>
      </c>
    </row>
    <row r="171" spans="2:28" x14ac:dyDescent="0.2">
      <c r="B171" s="10" t="s">
        <v>61</v>
      </c>
      <c r="C171" s="10">
        <v>4</v>
      </c>
      <c r="D171" s="10">
        <v>10</v>
      </c>
      <c r="E171" s="10"/>
      <c r="F171" s="10" t="s">
        <v>140</v>
      </c>
      <c r="G171" s="10"/>
      <c r="H171" s="10">
        <v>2</v>
      </c>
      <c r="I171" s="12">
        <v>23</v>
      </c>
      <c r="J171" s="13">
        <v>10</v>
      </c>
      <c r="K171" s="12"/>
      <c r="L171" s="106">
        <v>23</v>
      </c>
      <c r="M171" s="107">
        <v>10</v>
      </c>
      <c r="N171" s="106"/>
      <c r="O171" s="12">
        <v>23</v>
      </c>
      <c r="P171" s="13">
        <v>10</v>
      </c>
      <c r="Q171" s="12"/>
      <c r="R171" s="106">
        <v>23</v>
      </c>
      <c r="S171" s="107">
        <v>10</v>
      </c>
      <c r="T171" s="106"/>
      <c r="U171" s="33"/>
      <c r="V171" s="33"/>
      <c r="W171" s="33"/>
      <c r="X171" s="14"/>
      <c r="Y171" s="10"/>
      <c r="Z171" s="10"/>
      <c r="AA171" s="38">
        <f t="shared" si="29"/>
        <v>920</v>
      </c>
      <c r="AB171" s="17" t="e">
        <f t="shared" si="28"/>
        <v>#DIV/0!</v>
      </c>
    </row>
    <row r="172" spans="2:28" x14ac:dyDescent="0.2">
      <c r="B172" s="10" t="s">
        <v>62</v>
      </c>
      <c r="C172" s="11">
        <v>2</v>
      </c>
      <c r="D172" s="11">
        <v>10</v>
      </c>
      <c r="E172" s="11"/>
      <c r="F172" s="10" t="s">
        <v>140</v>
      </c>
      <c r="G172" s="10"/>
      <c r="H172" s="11">
        <v>1</v>
      </c>
      <c r="I172" s="12">
        <v>23</v>
      </c>
      <c r="J172" s="13">
        <v>10</v>
      </c>
      <c r="K172" s="12"/>
      <c r="L172" s="106">
        <v>23</v>
      </c>
      <c r="M172" s="107">
        <v>10</v>
      </c>
      <c r="N172" s="106"/>
      <c r="O172" s="12"/>
      <c r="P172" s="13"/>
      <c r="Q172" s="12"/>
      <c r="R172" s="106"/>
      <c r="S172" s="107"/>
      <c r="T172" s="106"/>
      <c r="U172" s="35"/>
      <c r="V172" s="35"/>
      <c r="W172" s="35"/>
      <c r="X172" s="20"/>
      <c r="Y172" s="11"/>
      <c r="Z172" s="11"/>
      <c r="AA172" s="38">
        <f>SUM(I172*J172)+(L172*M172)+(O172*P172)+(R172*S172)+(U172*V172)+(X172*Y172)</f>
        <v>460</v>
      </c>
      <c r="AB172" s="17" t="e">
        <f>AVERAGE(K172,N172,Q172,T172,W172,Z172)</f>
        <v>#DIV/0!</v>
      </c>
    </row>
    <row r="173" spans="2:28" x14ac:dyDescent="0.2">
      <c r="B173" s="10" t="s">
        <v>63</v>
      </c>
      <c r="C173" s="10">
        <v>3</v>
      </c>
      <c r="D173" s="10">
        <v>8</v>
      </c>
      <c r="E173" s="10"/>
      <c r="F173" s="10" t="s">
        <v>140</v>
      </c>
      <c r="G173" s="10"/>
      <c r="H173" s="10">
        <v>2</v>
      </c>
      <c r="I173" s="12">
        <v>27</v>
      </c>
      <c r="J173" s="13">
        <v>8</v>
      </c>
      <c r="K173" s="12"/>
      <c r="L173" s="106">
        <v>32</v>
      </c>
      <c r="M173" s="107">
        <v>8</v>
      </c>
      <c r="N173" s="106"/>
      <c r="O173" s="12">
        <v>32</v>
      </c>
      <c r="P173" s="13">
        <v>8</v>
      </c>
      <c r="Q173" s="12"/>
      <c r="R173" s="106"/>
      <c r="S173" s="107"/>
      <c r="T173" s="106"/>
      <c r="U173" s="35"/>
      <c r="V173" s="35"/>
      <c r="W173" s="35"/>
      <c r="X173" s="20"/>
      <c r="Y173" s="11"/>
      <c r="Z173" s="11"/>
      <c r="AA173" s="38">
        <f>SUM(I173*J173)+(L173*M173)+(O173*P173)+(R173*S173)+(U173*V173)+(X173*Y173)</f>
        <v>728</v>
      </c>
      <c r="AB173" s="17" t="e">
        <f>AVERAGE(K173,N173,Q173,T173,W173,Z173)</f>
        <v>#DIV/0!</v>
      </c>
    </row>
    <row r="174" spans="2:28" x14ac:dyDescent="0.2">
      <c r="B174" s="10" t="s">
        <v>64</v>
      </c>
      <c r="C174" s="11">
        <v>4</v>
      </c>
      <c r="D174" s="11">
        <v>8</v>
      </c>
      <c r="E174" s="11"/>
      <c r="F174" s="10" t="s">
        <v>140</v>
      </c>
      <c r="G174" s="10"/>
      <c r="H174" s="11">
        <v>1</v>
      </c>
      <c r="I174" s="12">
        <v>32</v>
      </c>
      <c r="J174" s="13">
        <v>8</v>
      </c>
      <c r="K174" s="12"/>
      <c r="L174" s="106">
        <v>32</v>
      </c>
      <c r="M174" s="107">
        <v>8</v>
      </c>
      <c r="N174" s="106"/>
      <c r="O174" s="12">
        <v>32</v>
      </c>
      <c r="P174" s="13">
        <v>8</v>
      </c>
      <c r="Q174" s="12"/>
      <c r="R174" s="106">
        <v>32</v>
      </c>
      <c r="S174" s="107">
        <v>8</v>
      </c>
      <c r="T174" s="106"/>
      <c r="U174" s="35"/>
      <c r="V174" s="35"/>
      <c r="W174" s="35"/>
      <c r="X174" s="20"/>
      <c r="Y174" s="11"/>
      <c r="Z174" s="11"/>
      <c r="AA174" s="38">
        <f>SUM(I174*J174)+(L174*M174)+(O174*P174)+(R174*S174)+(U174*V174)+(X174*Y174)</f>
        <v>1024</v>
      </c>
      <c r="AB174" s="17" t="e">
        <f>AVERAGE(K174,N174,Q174,T174,W174,Z174)</f>
        <v>#DIV/0!</v>
      </c>
    </row>
    <row r="175" spans="2:28" hidden="1" x14ac:dyDescent="0.2">
      <c r="B175" s="10" t="s">
        <v>137</v>
      </c>
      <c r="C175" s="11"/>
      <c r="D175" s="11"/>
      <c r="E175" s="11"/>
      <c r="F175" s="11"/>
      <c r="G175" s="11"/>
      <c r="H175" s="11"/>
      <c r="I175" s="12"/>
      <c r="J175" s="13"/>
      <c r="K175" s="12"/>
      <c r="L175" s="106"/>
      <c r="M175" s="107"/>
      <c r="N175" s="106"/>
      <c r="O175" s="12"/>
      <c r="P175" s="13"/>
      <c r="Q175" s="12"/>
      <c r="R175" s="106"/>
      <c r="S175" s="107"/>
      <c r="T175" s="106"/>
      <c r="U175" s="35"/>
      <c r="V175" s="35"/>
      <c r="W175" s="35"/>
      <c r="X175" s="20"/>
      <c r="Y175" s="11"/>
      <c r="Z175" s="11"/>
      <c r="AA175" s="38">
        <f>SUM(I175*J175)+(L175*M175)+(O175*P175)+(R175*S175)+(U175*V175)+(X175*Y175)</f>
        <v>0</v>
      </c>
      <c r="AB175" s="17" t="e">
        <f>AVERAGE(K175,N175,Q175,T175,W175,Z175)</f>
        <v>#DIV/0!</v>
      </c>
    </row>
    <row r="176" spans="2:28" hidden="1" x14ac:dyDescent="0.2">
      <c r="B176" s="10" t="s">
        <v>139</v>
      </c>
      <c r="C176" s="11"/>
      <c r="D176" s="11"/>
      <c r="E176" s="11"/>
      <c r="F176" s="11"/>
      <c r="G176" s="11"/>
      <c r="H176" s="11"/>
      <c r="I176" s="12"/>
      <c r="J176" s="13"/>
      <c r="K176" s="12"/>
      <c r="L176" s="106"/>
      <c r="M176" s="107"/>
      <c r="N176" s="106"/>
      <c r="O176" s="12"/>
      <c r="P176" s="13"/>
      <c r="Q176" s="12"/>
      <c r="R176" s="106"/>
      <c r="S176" s="107"/>
      <c r="T176" s="106"/>
      <c r="U176" s="35"/>
      <c r="V176" s="35"/>
      <c r="W176" s="35"/>
      <c r="X176" s="20"/>
      <c r="Y176" s="11"/>
      <c r="Z176" s="11"/>
      <c r="AA176" s="39">
        <f t="shared" si="29"/>
        <v>0</v>
      </c>
      <c r="AB176" s="17" t="e">
        <f t="shared" si="28"/>
        <v>#DIV/0!</v>
      </c>
    </row>
    <row r="177" spans="2:28" hidden="1" x14ac:dyDescent="0.2">
      <c r="B177" s="202">
        <f>'Exercise Selection'!B9</f>
        <v>0</v>
      </c>
      <c r="C177" s="203"/>
      <c r="D177" s="203"/>
      <c r="E177" s="203"/>
      <c r="F177" s="203"/>
      <c r="G177" s="203"/>
      <c r="H177" s="203"/>
      <c r="I177" s="202" t="s">
        <v>119</v>
      </c>
      <c r="J177" s="203"/>
      <c r="K177" s="203"/>
      <c r="L177" s="202" t="s">
        <v>120</v>
      </c>
      <c r="M177" s="203"/>
      <c r="N177" s="203"/>
      <c r="O177" s="202" t="s">
        <v>121</v>
      </c>
      <c r="P177" s="203"/>
      <c r="Q177" s="203"/>
      <c r="R177" s="202" t="s">
        <v>122</v>
      </c>
      <c r="S177" s="203"/>
      <c r="T177" s="203"/>
      <c r="U177" s="202" t="s">
        <v>123</v>
      </c>
      <c r="V177" s="203"/>
      <c r="W177" s="203"/>
      <c r="X177" s="202" t="s">
        <v>124</v>
      </c>
      <c r="Y177" s="203"/>
      <c r="Z177" s="203"/>
      <c r="AA177" s="202" t="s">
        <v>126</v>
      </c>
      <c r="AB177" s="202" t="s">
        <v>127</v>
      </c>
    </row>
    <row r="178" spans="2:28" hidden="1" x14ac:dyDescent="0.2">
      <c r="B178" s="202"/>
      <c r="C178" s="203"/>
      <c r="D178" s="203"/>
      <c r="E178" s="203"/>
      <c r="F178" s="203"/>
      <c r="G178" s="203"/>
      <c r="H178" s="203"/>
      <c r="I178" s="148"/>
      <c r="J178" s="148"/>
      <c r="K178" s="148"/>
      <c r="L178" s="148"/>
      <c r="M178" s="148"/>
      <c r="N178" s="148"/>
      <c r="O178" s="148"/>
      <c r="P178" s="148"/>
      <c r="Q178" s="148"/>
      <c r="R178" s="148"/>
      <c r="S178" s="148"/>
      <c r="T178" s="148"/>
      <c r="U178" s="148"/>
      <c r="V178" s="148"/>
      <c r="W178" s="148"/>
      <c r="X178" s="148"/>
      <c r="Y178" s="148"/>
      <c r="Z178" s="148"/>
      <c r="AA178" s="203"/>
      <c r="AB178" s="203"/>
    </row>
    <row r="179" spans="2:28" s="111" customFormat="1" hidden="1" x14ac:dyDescent="0.2">
      <c r="B179" s="80" t="s">
        <v>128</v>
      </c>
      <c r="C179" s="80" t="s">
        <v>129</v>
      </c>
      <c r="D179" s="80" t="s">
        <v>38</v>
      </c>
      <c r="E179" s="80" t="s">
        <v>130</v>
      </c>
      <c r="F179" s="80" t="s">
        <v>131</v>
      </c>
      <c r="G179" s="81" t="s">
        <v>132</v>
      </c>
      <c r="H179" s="82" t="s">
        <v>133</v>
      </c>
      <c r="I179" s="80" t="s">
        <v>134</v>
      </c>
      <c r="J179" s="80" t="s">
        <v>135</v>
      </c>
      <c r="K179" s="80" t="s">
        <v>133</v>
      </c>
      <c r="L179" s="80" t="s">
        <v>134</v>
      </c>
      <c r="M179" s="80" t="s">
        <v>135</v>
      </c>
      <c r="N179" s="80" t="s">
        <v>133</v>
      </c>
      <c r="O179" s="80" t="s">
        <v>134</v>
      </c>
      <c r="P179" s="80" t="s">
        <v>135</v>
      </c>
      <c r="Q179" s="80" t="s">
        <v>133</v>
      </c>
      <c r="R179" s="80" t="s">
        <v>134</v>
      </c>
      <c r="S179" s="80" t="s">
        <v>135</v>
      </c>
      <c r="T179" s="80" t="s">
        <v>133</v>
      </c>
      <c r="U179" s="80" t="s">
        <v>134</v>
      </c>
      <c r="V179" s="80" t="s">
        <v>135</v>
      </c>
      <c r="W179" s="80" t="s">
        <v>133</v>
      </c>
      <c r="X179" s="80" t="s">
        <v>134</v>
      </c>
      <c r="Y179" s="80" t="s">
        <v>135</v>
      </c>
      <c r="Z179" s="82" t="s">
        <v>133</v>
      </c>
      <c r="AA179" s="203"/>
      <c r="AB179" s="203"/>
    </row>
    <row r="180" spans="2:28" hidden="1" x14ac:dyDescent="0.2">
      <c r="B180" s="10" t="s">
        <v>59</v>
      </c>
      <c r="C180" s="10"/>
      <c r="D180" s="10"/>
      <c r="E180" s="10"/>
      <c r="F180" s="10"/>
      <c r="G180" s="10"/>
      <c r="H180" s="10"/>
      <c r="I180" s="12"/>
      <c r="J180" s="13"/>
      <c r="K180" s="12"/>
      <c r="L180" s="106"/>
      <c r="M180" s="107"/>
      <c r="N180" s="106"/>
      <c r="O180" s="12"/>
      <c r="P180" s="13"/>
      <c r="Q180" s="12"/>
      <c r="R180" s="106"/>
      <c r="S180" s="107"/>
      <c r="T180" s="106"/>
      <c r="U180" s="12"/>
      <c r="V180" s="13"/>
      <c r="W180" s="12"/>
      <c r="X180" s="14"/>
      <c r="Y180" s="10"/>
      <c r="Z180" s="10"/>
      <c r="AA180" s="19">
        <f>SUM(I180*J180)+(L180*M180)+(O180*P180)+(R180*S180)+(U180*V180)+(X180*Y180)</f>
        <v>0</v>
      </c>
      <c r="AB180" s="17" t="e">
        <f t="shared" ref="AB180:AB187" si="30">AVERAGE(K180,N180,Q180,T180,W180,Z180)</f>
        <v>#DIV/0!</v>
      </c>
    </row>
    <row r="181" spans="2:28" hidden="1" x14ac:dyDescent="0.2">
      <c r="B181" s="10" t="s">
        <v>60</v>
      </c>
      <c r="C181" s="10"/>
      <c r="D181" s="10"/>
      <c r="E181" s="10"/>
      <c r="F181" s="10"/>
      <c r="G181" s="10"/>
      <c r="H181" s="10"/>
      <c r="I181" s="12"/>
      <c r="J181" s="13"/>
      <c r="K181" s="12"/>
      <c r="L181" s="106"/>
      <c r="M181" s="107"/>
      <c r="N181" s="106"/>
      <c r="O181" s="12"/>
      <c r="P181" s="13"/>
      <c r="Q181" s="12"/>
      <c r="R181" s="106"/>
      <c r="S181" s="107"/>
      <c r="T181" s="106"/>
      <c r="U181" s="12"/>
      <c r="V181" s="12"/>
      <c r="W181" s="12"/>
      <c r="X181" s="14"/>
      <c r="Y181" s="10"/>
      <c r="Z181" s="10"/>
      <c r="AA181" s="16">
        <f t="shared" ref="AA181:AA187" si="31">SUM(I181*J181)+(L181*M181)+(O181*P181)+(R181*S181)+(U181*V181)+(X181*Y181)</f>
        <v>0</v>
      </c>
      <c r="AB181" s="17" t="e">
        <f t="shared" si="30"/>
        <v>#DIV/0!</v>
      </c>
    </row>
    <row r="182" spans="2:28" hidden="1" x14ac:dyDescent="0.2">
      <c r="B182" s="10" t="s">
        <v>61</v>
      </c>
      <c r="C182" s="10"/>
      <c r="D182" s="10"/>
      <c r="E182" s="10"/>
      <c r="F182" s="10"/>
      <c r="G182" s="10"/>
      <c r="H182" s="10"/>
      <c r="I182" s="12"/>
      <c r="J182" s="13"/>
      <c r="K182" s="12"/>
      <c r="L182" s="106"/>
      <c r="M182" s="107"/>
      <c r="N182" s="106"/>
      <c r="O182" s="12"/>
      <c r="P182" s="13"/>
      <c r="Q182" s="12"/>
      <c r="R182" s="106"/>
      <c r="S182" s="107"/>
      <c r="T182" s="106"/>
      <c r="U182" s="12"/>
      <c r="V182" s="12"/>
      <c r="W182" s="12"/>
      <c r="X182" s="14"/>
      <c r="Y182" s="10"/>
      <c r="Z182" s="10"/>
      <c r="AA182" s="16">
        <f t="shared" si="31"/>
        <v>0</v>
      </c>
      <c r="AB182" s="17" t="e">
        <f t="shared" si="30"/>
        <v>#DIV/0!</v>
      </c>
    </row>
    <row r="183" spans="2:28" hidden="1" x14ac:dyDescent="0.2">
      <c r="B183" s="10" t="s">
        <v>62</v>
      </c>
      <c r="C183" s="10"/>
      <c r="D183" s="10"/>
      <c r="E183" s="10"/>
      <c r="F183" s="10"/>
      <c r="G183" s="10"/>
      <c r="H183" s="10"/>
      <c r="I183" s="12"/>
      <c r="J183" s="13"/>
      <c r="K183" s="12"/>
      <c r="L183" s="106"/>
      <c r="M183" s="107"/>
      <c r="N183" s="106"/>
      <c r="O183" s="12"/>
      <c r="P183" s="13"/>
      <c r="Q183" s="12"/>
      <c r="R183" s="106"/>
      <c r="S183" s="107"/>
      <c r="T183" s="106"/>
      <c r="U183" s="12"/>
      <c r="V183" s="12"/>
      <c r="W183" s="12"/>
      <c r="X183" s="14"/>
      <c r="Y183" s="10"/>
      <c r="Z183" s="10"/>
      <c r="AA183" s="16">
        <f>SUM(I183*J183)+(L183*M183)+(O183*P183)+(R183*S183)+(U183*V183)+(X183*Y183)</f>
        <v>0</v>
      </c>
      <c r="AB183" s="17" t="e">
        <f>AVERAGE(K183,N183,Q183,T183,W183,Z183)</f>
        <v>#DIV/0!</v>
      </c>
    </row>
    <row r="184" spans="2:28" hidden="1" x14ac:dyDescent="0.2">
      <c r="B184" s="10" t="s">
        <v>63</v>
      </c>
      <c r="C184" s="10"/>
      <c r="D184" s="10"/>
      <c r="E184" s="10"/>
      <c r="F184" s="10"/>
      <c r="G184" s="10"/>
      <c r="H184" s="10"/>
      <c r="I184" s="12"/>
      <c r="J184" s="13"/>
      <c r="K184" s="12"/>
      <c r="L184" s="106"/>
      <c r="M184" s="107"/>
      <c r="N184" s="106"/>
      <c r="O184" s="12"/>
      <c r="P184" s="13"/>
      <c r="Q184" s="12"/>
      <c r="R184" s="106"/>
      <c r="S184" s="107"/>
      <c r="T184" s="106"/>
      <c r="U184" s="12"/>
      <c r="V184" s="12"/>
      <c r="W184" s="12"/>
      <c r="X184" s="14"/>
      <c r="Y184" s="10"/>
      <c r="Z184" s="10"/>
      <c r="AA184" s="16">
        <f>SUM(I184*J184)+(L184*M184)+(O184*P184)+(R184*S184)+(U184*V184)+(X184*Y184)</f>
        <v>0</v>
      </c>
      <c r="AB184" s="17" t="e">
        <f>AVERAGE(K184,N184,Q184,T184,W184,Z184)</f>
        <v>#DIV/0!</v>
      </c>
    </row>
    <row r="185" spans="2:28" hidden="1" x14ac:dyDescent="0.2">
      <c r="B185" s="10" t="s">
        <v>64</v>
      </c>
      <c r="C185" s="10"/>
      <c r="D185" s="10"/>
      <c r="E185" s="10"/>
      <c r="F185" s="10"/>
      <c r="G185" s="10"/>
      <c r="H185" s="10"/>
      <c r="I185" s="12"/>
      <c r="J185" s="13"/>
      <c r="K185" s="12"/>
      <c r="L185" s="106"/>
      <c r="M185" s="107"/>
      <c r="N185" s="106"/>
      <c r="O185" s="12"/>
      <c r="P185" s="13"/>
      <c r="Q185" s="12"/>
      <c r="R185" s="106"/>
      <c r="S185" s="107"/>
      <c r="T185" s="106"/>
      <c r="U185" s="12"/>
      <c r="V185" s="12"/>
      <c r="W185" s="12"/>
      <c r="X185" s="14"/>
      <c r="Y185" s="10"/>
      <c r="Z185" s="10"/>
      <c r="AA185" s="16">
        <f>SUM(I185*J185)+(L185*M185)+(O185*P185)+(R185*S185)+(U185*V185)+(X185*Y185)</f>
        <v>0</v>
      </c>
      <c r="AB185" s="17" t="e">
        <f>AVERAGE(K185,N185,Q185,T185,W185,Z185)</f>
        <v>#DIV/0!</v>
      </c>
    </row>
    <row r="186" spans="2:28" hidden="1" x14ac:dyDescent="0.2">
      <c r="B186" s="10" t="s">
        <v>137</v>
      </c>
      <c r="C186" s="10"/>
      <c r="D186" s="10"/>
      <c r="E186" s="10"/>
      <c r="F186" s="10"/>
      <c r="G186" s="10"/>
      <c r="H186" s="10"/>
      <c r="I186" s="12"/>
      <c r="J186" s="13"/>
      <c r="K186" s="12"/>
      <c r="L186" s="106"/>
      <c r="M186" s="107"/>
      <c r="N186" s="106"/>
      <c r="O186" s="12"/>
      <c r="P186" s="13"/>
      <c r="Q186" s="12"/>
      <c r="R186" s="106"/>
      <c r="S186" s="107"/>
      <c r="T186" s="106"/>
      <c r="U186" s="12"/>
      <c r="V186" s="12"/>
      <c r="W186" s="12"/>
      <c r="X186" s="14"/>
      <c r="Y186" s="10"/>
      <c r="Z186" s="10"/>
      <c r="AA186" s="16">
        <f>SUM(I186*J186)+(L186*M186)+(O186*P186)+(R186*S186)+(U186*V186)+(X186*Y186)</f>
        <v>0</v>
      </c>
      <c r="AB186" s="17" t="e">
        <f>AVERAGE(K186,N186,Q186,T186,W186,Z186)</f>
        <v>#DIV/0!</v>
      </c>
    </row>
    <row r="187" spans="2:28" hidden="1" x14ac:dyDescent="0.2">
      <c r="B187" s="10" t="s">
        <v>139</v>
      </c>
      <c r="C187" s="10"/>
      <c r="D187" s="10"/>
      <c r="E187" s="10"/>
      <c r="F187" s="10"/>
      <c r="G187" s="10"/>
      <c r="H187" s="10"/>
      <c r="I187" s="12"/>
      <c r="J187" s="13"/>
      <c r="K187" s="12"/>
      <c r="L187" s="106"/>
      <c r="M187" s="107"/>
      <c r="N187" s="106"/>
      <c r="O187" s="12"/>
      <c r="P187" s="13"/>
      <c r="Q187" s="12"/>
      <c r="R187" s="106"/>
      <c r="S187" s="107"/>
      <c r="T187" s="106"/>
      <c r="U187" s="12"/>
      <c r="V187" s="12"/>
      <c r="W187" s="12"/>
      <c r="X187" s="14"/>
      <c r="Y187" s="10"/>
      <c r="Z187" s="10"/>
      <c r="AA187" s="16">
        <f t="shared" si="31"/>
        <v>0</v>
      </c>
      <c r="AB187" s="17" t="e">
        <f t="shared" si="30"/>
        <v>#DIV/0!</v>
      </c>
    </row>
    <row r="188" spans="2:28" x14ac:dyDescent="0.2">
      <c r="B188" s="125"/>
      <c r="C188" s="125"/>
      <c r="D188" s="125"/>
      <c r="E188" s="125"/>
      <c r="F188" s="125"/>
      <c r="G188" s="125"/>
      <c r="H188" s="125"/>
      <c r="I188" s="125"/>
      <c r="J188" s="126"/>
      <c r="K188" s="125"/>
      <c r="L188" s="125"/>
      <c r="M188" s="126"/>
      <c r="N188" s="125"/>
      <c r="O188" s="125"/>
      <c r="P188" s="126"/>
      <c r="Q188" s="125"/>
      <c r="R188" s="125"/>
      <c r="S188" s="126"/>
      <c r="T188" s="125"/>
      <c r="U188" s="125"/>
      <c r="V188" s="125"/>
      <c r="W188" s="125"/>
      <c r="X188" s="125"/>
      <c r="Y188" s="125"/>
      <c r="Z188" s="125"/>
      <c r="AA188" s="125"/>
      <c r="AB188" s="125"/>
    </row>
    <row r="189" spans="2:28" x14ac:dyDescent="0.2">
      <c r="B189" s="208" t="s">
        <v>142</v>
      </c>
      <c r="C189" s="208"/>
      <c r="D189" s="208"/>
      <c r="E189" s="208"/>
      <c r="F189" s="208"/>
      <c r="G189" s="208"/>
      <c r="H189" s="208"/>
      <c r="I189" s="206">
        <f>SUM(AA103+AA114+AA125+AA136+AA147+AA158+AA169+AA180)</f>
        <v>4004</v>
      </c>
      <c r="J189" s="207"/>
      <c r="K189" s="207"/>
      <c r="L189" s="208" t="s">
        <v>143</v>
      </c>
      <c r="M189" s="208"/>
      <c r="N189" s="208"/>
      <c r="O189" s="208"/>
      <c r="P189" s="208"/>
      <c r="Q189" s="206">
        <f>SUM(AA104+AA115+AA126+AA137+AA148+AA159+AA170+AA181)</f>
        <v>6256</v>
      </c>
      <c r="R189" s="207"/>
      <c r="S189" s="207"/>
      <c r="T189" s="216" t="s">
        <v>144</v>
      </c>
      <c r="U189" s="216"/>
      <c r="V189" s="216"/>
      <c r="W189" s="216"/>
      <c r="X189" s="216"/>
      <c r="Y189" s="216"/>
      <c r="Z189" s="216"/>
      <c r="AA189" s="216"/>
      <c r="AB189" s="216"/>
    </row>
    <row r="190" spans="2:28" x14ac:dyDescent="0.2">
      <c r="B190" s="208" t="s">
        <v>145</v>
      </c>
      <c r="C190" s="208"/>
      <c r="D190" s="208"/>
      <c r="E190" s="208"/>
      <c r="F190" s="208"/>
      <c r="G190" s="208"/>
      <c r="H190" s="208"/>
      <c r="I190" s="206">
        <f>SUM(AA105+AA116+AA127+AA138+AA149+AA160+AA171+AA182)</f>
        <v>7400</v>
      </c>
      <c r="J190" s="207"/>
      <c r="K190" s="207"/>
      <c r="L190" s="208" t="s">
        <v>146</v>
      </c>
      <c r="M190" s="208"/>
      <c r="N190" s="208"/>
      <c r="O190" s="208"/>
      <c r="P190" s="208"/>
      <c r="Q190" s="206">
        <f>SUM(AA106+AA117+AA128+AA139+AA150+AA161+AA172+AA183)</f>
        <v>3815</v>
      </c>
      <c r="R190" s="207"/>
      <c r="S190" s="207"/>
      <c r="T190" s="206">
        <f>SUM(I189+Q189+I190+Q190+I191+Q191+I192+Q192)</f>
        <v>34114</v>
      </c>
      <c r="U190" s="207"/>
      <c r="V190" s="207"/>
      <c r="W190" s="207"/>
      <c r="X190" s="207"/>
      <c r="Y190" s="207"/>
      <c r="Z190" s="207"/>
      <c r="AA190" s="207"/>
      <c r="AB190" s="207"/>
    </row>
    <row r="191" spans="2:28" x14ac:dyDescent="0.2">
      <c r="B191" s="208" t="s">
        <v>147</v>
      </c>
      <c r="C191" s="208"/>
      <c r="D191" s="208"/>
      <c r="E191" s="208"/>
      <c r="F191" s="208"/>
      <c r="G191" s="208"/>
      <c r="H191" s="208"/>
      <c r="I191" s="206">
        <f>SUM(AA107+AA118+AA129+AA140+AA151+AA162+AA173+AA184)</f>
        <v>5371</v>
      </c>
      <c r="J191" s="207"/>
      <c r="K191" s="207"/>
      <c r="L191" s="208" t="s">
        <v>148</v>
      </c>
      <c r="M191" s="208"/>
      <c r="N191" s="208"/>
      <c r="O191" s="208"/>
      <c r="P191" s="208"/>
      <c r="Q191" s="206">
        <f>SUM(AA108+AA119+AA130+AA141+AA152+AA163+AA174+AA185)</f>
        <v>7268</v>
      </c>
      <c r="R191" s="207"/>
      <c r="S191" s="207"/>
      <c r="T191" s="149"/>
      <c r="U191" s="149"/>
      <c r="V191" s="149"/>
      <c r="W191" s="149"/>
      <c r="X191" s="149"/>
      <c r="Y191" s="149"/>
      <c r="Z191" s="149"/>
      <c r="AA191" s="149"/>
      <c r="AB191" s="149"/>
    </row>
    <row r="192" spans="2:28" x14ac:dyDescent="0.2">
      <c r="B192" s="208" t="s">
        <v>149</v>
      </c>
      <c r="C192" s="208"/>
      <c r="D192" s="208"/>
      <c r="E192" s="208"/>
      <c r="F192" s="208"/>
      <c r="G192" s="208"/>
      <c r="H192" s="208"/>
      <c r="I192" s="206">
        <f>SUM(AA109+AA120+AA131+AA142+AA153+AA164+AA175+AA186)</f>
        <v>0</v>
      </c>
      <c r="J192" s="207"/>
      <c r="K192" s="207"/>
      <c r="L192" s="208" t="s">
        <v>150</v>
      </c>
      <c r="M192" s="208"/>
      <c r="N192" s="208"/>
      <c r="O192" s="208"/>
      <c r="P192" s="208"/>
      <c r="Q192" s="206">
        <f>SUM(AA110+AA121+AA132+AA143+AA154+AA165+AA176+AA187)</f>
        <v>0</v>
      </c>
      <c r="R192" s="207"/>
      <c r="S192" s="207"/>
      <c r="T192" s="149"/>
      <c r="U192" s="149"/>
      <c r="V192" s="149"/>
      <c r="W192" s="149"/>
      <c r="X192" s="149"/>
      <c r="Y192" s="149"/>
      <c r="Z192" s="149"/>
      <c r="AA192" s="149"/>
      <c r="AB192" s="149"/>
    </row>
    <row r="193" spans="1:28" ht="9" customHeight="1" x14ac:dyDescent="0.2">
      <c r="B193" s="211" t="str">
        <f>'Exercise Selection'!C1</f>
        <v>Session 3 Friday</v>
      </c>
      <c r="C193" s="211"/>
      <c r="D193" s="211"/>
      <c r="E193" s="211"/>
      <c r="F193" s="211"/>
      <c r="G193" s="211"/>
      <c r="H193" s="211"/>
      <c r="I193" s="211"/>
      <c r="J193" s="211"/>
      <c r="K193" s="211"/>
      <c r="L193" s="211"/>
      <c r="M193" s="211"/>
      <c r="N193" s="211"/>
      <c r="O193" s="211"/>
      <c r="P193" s="211"/>
      <c r="Q193" s="211"/>
      <c r="R193" s="211"/>
      <c r="S193" s="211"/>
      <c r="T193" s="211"/>
      <c r="U193" s="211"/>
      <c r="V193" s="211"/>
      <c r="W193" s="211"/>
      <c r="X193" s="211"/>
      <c r="Y193" s="211"/>
      <c r="Z193" s="211"/>
      <c r="AA193" s="211"/>
      <c r="AB193" s="211"/>
    </row>
    <row r="194" spans="1:28" ht="9" customHeight="1" x14ac:dyDescent="0.2">
      <c r="B194" s="211"/>
      <c r="C194" s="211"/>
      <c r="D194" s="211"/>
      <c r="E194" s="211"/>
      <c r="F194" s="211"/>
      <c r="G194" s="211"/>
      <c r="H194" s="211"/>
      <c r="I194" s="211"/>
      <c r="J194" s="211"/>
      <c r="K194" s="211"/>
      <c r="L194" s="211"/>
      <c r="M194" s="211"/>
      <c r="N194" s="211"/>
      <c r="O194" s="211"/>
      <c r="P194" s="211"/>
      <c r="Q194" s="211"/>
      <c r="R194" s="211"/>
      <c r="S194" s="211"/>
      <c r="T194" s="211"/>
      <c r="U194" s="211"/>
      <c r="V194" s="211"/>
      <c r="W194" s="211"/>
      <c r="X194" s="211"/>
      <c r="Y194" s="211"/>
      <c r="Z194" s="211"/>
      <c r="AA194" s="211"/>
      <c r="AB194" s="211"/>
    </row>
    <row r="195" spans="1:28" ht="9" customHeight="1" x14ac:dyDescent="0.2">
      <c r="B195" s="211"/>
      <c r="C195" s="211"/>
      <c r="D195" s="211"/>
      <c r="E195" s="211"/>
      <c r="F195" s="211"/>
      <c r="G195" s="211"/>
      <c r="H195" s="211"/>
      <c r="I195" s="211"/>
      <c r="J195" s="211"/>
      <c r="K195" s="211"/>
      <c r="L195" s="211"/>
      <c r="M195" s="211"/>
      <c r="N195" s="211"/>
      <c r="O195" s="211"/>
      <c r="P195" s="211"/>
      <c r="Q195" s="211"/>
      <c r="R195" s="211"/>
      <c r="S195" s="211"/>
      <c r="T195" s="211"/>
      <c r="U195" s="211"/>
      <c r="V195" s="211"/>
      <c r="W195" s="211"/>
      <c r="X195" s="211"/>
      <c r="Y195" s="211"/>
      <c r="Z195" s="211"/>
      <c r="AA195" s="211"/>
      <c r="AB195" s="211"/>
    </row>
    <row r="196" spans="1:28" x14ac:dyDescent="0.2">
      <c r="B196" s="214" t="str">
        <f>'Exercise Selection'!C2</f>
        <v>(A) Hover ^Deadlift</v>
      </c>
      <c r="C196" s="215"/>
      <c r="D196" s="215"/>
      <c r="E196" s="215"/>
      <c r="F196" s="215"/>
      <c r="G196" s="215"/>
      <c r="H196" s="215"/>
      <c r="I196" s="202" t="s">
        <v>119</v>
      </c>
      <c r="J196" s="203"/>
      <c r="K196" s="203"/>
      <c r="L196" s="202" t="s">
        <v>120</v>
      </c>
      <c r="M196" s="203"/>
      <c r="N196" s="203"/>
      <c r="O196" s="202" t="s">
        <v>121</v>
      </c>
      <c r="P196" s="203"/>
      <c r="Q196" s="203"/>
      <c r="R196" s="202" t="s">
        <v>122</v>
      </c>
      <c r="S196" s="203"/>
      <c r="T196" s="203"/>
      <c r="U196" s="202" t="s">
        <v>123</v>
      </c>
      <c r="V196" s="203"/>
      <c r="W196" s="203"/>
      <c r="X196" s="202" t="s">
        <v>124</v>
      </c>
      <c r="Y196" s="203"/>
      <c r="Z196" s="203"/>
      <c r="AA196" s="202" t="s">
        <v>126</v>
      </c>
      <c r="AB196" s="212" t="s">
        <v>127</v>
      </c>
    </row>
    <row r="197" spans="1:28" x14ac:dyDescent="0.2">
      <c r="A197" s="18" t="s">
        <v>159</v>
      </c>
      <c r="B197" s="204"/>
      <c r="C197" s="205"/>
      <c r="D197" s="205"/>
      <c r="E197" s="205"/>
      <c r="F197" s="205"/>
      <c r="G197" s="205"/>
      <c r="H197" s="205"/>
      <c r="I197" s="148"/>
      <c r="J197" s="148"/>
      <c r="K197" s="148"/>
      <c r="L197" s="148"/>
      <c r="M197" s="148"/>
      <c r="N197" s="148"/>
      <c r="O197" s="148"/>
      <c r="P197" s="148"/>
      <c r="Q197" s="148"/>
      <c r="R197" s="148"/>
      <c r="S197" s="148"/>
      <c r="T197" s="148"/>
      <c r="U197" s="148"/>
      <c r="V197" s="148"/>
      <c r="W197" s="148"/>
      <c r="X197" s="148"/>
      <c r="Y197" s="148"/>
      <c r="Z197" s="148"/>
      <c r="AA197" s="203"/>
      <c r="AB197" s="213"/>
    </row>
    <row r="198" spans="1:28" s="111" customFormat="1" x14ac:dyDescent="0.2">
      <c r="B198" s="89" t="s">
        <v>128</v>
      </c>
      <c r="C198" s="90" t="s">
        <v>129</v>
      </c>
      <c r="D198" s="90" t="s">
        <v>38</v>
      </c>
      <c r="E198" s="90" t="s">
        <v>130</v>
      </c>
      <c r="F198" s="90" t="s">
        <v>131</v>
      </c>
      <c r="G198" s="91" t="s">
        <v>132</v>
      </c>
      <c r="H198" s="81" t="s">
        <v>133</v>
      </c>
      <c r="I198" s="83" t="s">
        <v>134</v>
      </c>
      <c r="J198" s="83" t="s">
        <v>135</v>
      </c>
      <c r="K198" s="83" t="s">
        <v>133</v>
      </c>
      <c r="L198" s="83" t="s">
        <v>134</v>
      </c>
      <c r="M198" s="83" t="s">
        <v>135</v>
      </c>
      <c r="N198" s="83" t="s">
        <v>133</v>
      </c>
      <c r="O198" s="83" t="s">
        <v>134</v>
      </c>
      <c r="P198" s="83" t="s">
        <v>135</v>
      </c>
      <c r="Q198" s="83" t="s">
        <v>133</v>
      </c>
      <c r="R198" s="83" t="s">
        <v>134</v>
      </c>
      <c r="S198" s="83" t="s">
        <v>135</v>
      </c>
      <c r="T198" s="83" t="s">
        <v>133</v>
      </c>
      <c r="U198" s="83" t="s">
        <v>134</v>
      </c>
      <c r="V198" s="83" t="s">
        <v>135</v>
      </c>
      <c r="W198" s="83" t="s">
        <v>133</v>
      </c>
      <c r="X198" s="83" t="s">
        <v>134</v>
      </c>
      <c r="Y198" s="83" t="s">
        <v>135</v>
      </c>
      <c r="Z198" s="84" t="s">
        <v>133</v>
      </c>
      <c r="AA198" s="203"/>
      <c r="AB198" s="213"/>
    </row>
    <row r="199" spans="1:28" x14ac:dyDescent="0.2">
      <c r="B199" s="10" t="s">
        <v>59</v>
      </c>
      <c r="C199" s="10">
        <v>2</v>
      </c>
      <c r="D199" s="10">
        <v>4</v>
      </c>
      <c r="E199" s="10"/>
      <c r="F199" s="10" t="s">
        <v>136</v>
      </c>
      <c r="G199" s="10"/>
      <c r="H199" s="10">
        <v>3</v>
      </c>
      <c r="I199" s="12">
        <v>80</v>
      </c>
      <c r="J199" s="13">
        <v>4</v>
      </c>
      <c r="K199" s="12"/>
      <c r="L199" s="106">
        <v>80</v>
      </c>
      <c r="M199" s="107">
        <v>4</v>
      </c>
      <c r="N199" s="106"/>
      <c r="O199" s="12"/>
      <c r="P199" s="13"/>
      <c r="Q199" s="12"/>
      <c r="R199" s="106"/>
      <c r="S199" s="107"/>
      <c r="T199" s="106"/>
      <c r="U199" s="33"/>
      <c r="V199" s="34"/>
      <c r="W199" s="33"/>
      <c r="X199" s="14"/>
      <c r="Y199" s="10"/>
      <c r="Z199" s="10"/>
      <c r="AA199" s="37">
        <f>SUM(I199*J199)+(L199*M199)+(O199*P199)+(R199*S199)+(U199*V199)+(X199*Y199)</f>
        <v>640</v>
      </c>
      <c r="AB199" s="17" t="e">
        <f>AVERAGE(K199,N199,Q199,T199,W199,Z199)</f>
        <v>#DIV/0!</v>
      </c>
    </row>
    <row r="200" spans="1:28" x14ac:dyDescent="0.2">
      <c r="B200" s="10" t="s">
        <v>60</v>
      </c>
      <c r="C200" s="10">
        <v>3</v>
      </c>
      <c r="D200" s="10">
        <v>4</v>
      </c>
      <c r="E200" s="10"/>
      <c r="F200" s="10" t="s">
        <v>136</v>
      </c>
      <c r="G200" s="10"/>
      <c r="H200" s="10">
        <v>3</v>
      </c>
      <c r="I200" s="12">
        <v>80</v>
      </c>
      <c r="J200" s="13">
        <v>4</v>
      </c>
      <c r="K200" s="12"/>
      <c r="L200" s="106">
        <v>85</v>
      </c>
      <c r="M200" s="107">
        <v>4</v>
      </c>
      <c r="N200" s="106"/>
      <c r="O200" s="12">
        <v>85</v>
      </c>
      <c r="P200" s="13">
        <v>4</v>
      </c>
      <c r="Q200" s="12"/>
      <c r="R200" s="106"/>
      <c r="S200" s="107"/>
      <c r="T200" s="106"/>
      <c r="U200" s="33"/>
      <c r="V200" s="33"/>
      <c r="W200" s="33"/>
      <c r="X200" s="14"/>
      <c r="Y200" s="10"/>
      <c r="Z200" s="10"/>
      <c r="AA200" s="38">
        <f t="shared" ref="AA200:AA206" si="32">SUM(I200*J200)+(L200*M200)+(O200*P200)+(R200*S200)+(U200*V200)+(X200*Y200)</f>
        <v>1000</v>
      </c>
      <c r="AB200" s="17" t="e">
        <f t="shared" ref="AB200:AB206" si="33">AVERAGE(K200,N200,Q200,T200,W200,Z200)</f>
        <v>#DIV/0!</v>
      </c>
    </row>
    <row r="201" spans="1:28" x14ac:dyDescent="0.2">
      <c r="B201" s="10" t="s">
        <v>61</v>
      </c>
      <c r="C201" s="10">
        <v>4</v>
      </c>
      <c r="D201" s="10">
        <v>4</v>
      </c>
      <c r="E201" s="10"/>
      <c r="F201" s="10" t="s">
        <v>136</v>
      </c>
      <c r="G201" s="10"/>
      <c r="H201" s="10">
        <v>3</v>
      </c>
      <c r="I201" s="12">
        <v>85</v>
      </c>
      <c r="J201" s="13">
        <v>4</v>
      </c>
      <c r="K201" s="12"/>
      <c r="L201" s="106">
        <v>85</v>
      </c>
      <c r="M201" s="107">
        <v>4</v>
      </c>
      <c r="N201" s="106"/>
      <c r="O201" s="12">
        <v>90</v>
      </c>
      <c r="P201" s="13">
        <v>4</v>
      </c>
      <c r="Q201" s="12"/>
      <c r="R201" s="106">
        <v>95</v>
      </c>
      <c r="S201" s="107">
        <v>4</v>
      </c>
      <c r="T201" s="106"/>
      <c r="U201" s="33"/>
      <c r="V201" s="33"/>
      <c r="W201" s="33"/>
      <c r="X201" s="14"/>
      <c r="Y201" s="10"/>
      <c r="Z201" s="10"/>
      <c r="AA201" s="38">
        <f t="shared" si="32"/>
        <v>1420</v>
      </c>
      <c r="AB201" s="17" t="e">
        <f t="shared" si="33"/>
        <v>#DIV/0!</v>
      </c>
    </row>
    <row r="202" spans="1:28" x14ac:dyDescent="0.2">
      <c r="B202" s="10" t="s">
        <v>62</v>
      </c>
      <c r="C202" s="11">
        <v>2</v>
      </c>
      <c r="D202" s="11">
        <v>3</v>
      </c>
      <c r="E202" s="11"/>
      <c r="F202" s="10" t="s">
        <v>136</v>
      </c>
      <c r="G202" s="10"/>
      <c r="H202" s="11">
        <v>3</v>
      </c>
      <c r="I202" s="12">
        <v>100</v>
      </c>
      <c r="J202" s="13">
        <v>3</v>
      </c>
      <c r="K202" s="12"/>
      <c r="L202" s="106">
        <v>100</v>
      </c>
      <c r="M202" s="107">
        <v>3</v>
      </c>
      <c r="N202" s="106"/>
      <c r="O202" s="12"/>
      <c r="P202" s="13"/>
      <c r="Q202" s="12"/>
      <c r="R202" s="106"/>
      <c r="S202" s="107"/>
      <c r="T202" s="106"/>
      <c r="U202" s="35"/>
      <c r="V202" s="35"/>
      <c r="W202" s="35"/>
      <c r="X202" s="20"/>
      <c r="Y202" s="11"/>
      <c r="Z202" s="11"/>
      <c r="AA202" s="38">
        <f>SUM(I202*J202)+(L202*M202)+(O202*P202)+(R202*S202)+(U202*V202)+(X202*Y202)</f>
        <v>600</v>
      </c>
      <c r="AB202" s="17" t="e">
        <f>AVERAGE(K202,N202,Q202,T202,W202,Z202)</f>
        <v>#DIV/0!</v>
      </c>
    </row>
    <row r="203" spans="1:28" x14ac:dyDescent="0.2">
      <c r="B203" s="10" t="s">
        <v>63</v>
      </c>
      <c r="C203" s="10">
        <v>3</v>
      </c>
      <c r="D203" s="10">
        <v>3</v>
      </c>
      <c r="E203" s="10"/>
      <c r="F203" s="10" t="s">
        <v>136</v>
      </c>
      <c r="G203" s="10"/>
      <c r="H203" s="10">
        <v>3</v>
      </c>
      <c r="I203" s="12">
        <v>110</v>
      </c>
      <c r="J203" s="13">
        <v>3</v>
      </c>
      <c r="K203" s="12"/>
      <c r="L203" s="106">
        <v>120</v>
      </c>
      <c r="M203" s="107">
        <v>3</v>
      </c>
      <c r="N203" s="106"/>
      <c r="O203" s="12">
        <v>120</v>
      </c>
      <c r="P203" s="13">
        <v>3</v>
      </c>
      <c r="Q203" s="12"/>
      <c r="R203" s="106"/>
      <c r="S203" s="107"/>
      <c r="T203" s="106"/>
      <c r="U203" s="35"/>
      <c r="V203" s="35"/>
      <c r="W203" s="35"/>
      <c r="X203" s="20"/>
      <c r="Y203" s="11"/>
      <c r="Z203" s="11"/>
      <c r="AA203" s="38">
        <f>SUM(I203*J203)+(L203*M203)+(O203*P203)+(R203*S203)+(U203*V203)+(X203*Y203)</f>
        <v>1050</v>
      </c>
      <c r="AB203" s="17" t="e">
        <f>AVERAGE(K203,N203,Q203,T203,W203,Z203)</f>
        <v>#DIV/0!</v>
      </c>
    </row>
    <row r="204" spans="1:28" x14ac:dyDescent="0.2">
      <c r="B204" s="85" t="s">
        <v>64</v>
      </c>
      <c r="C204" s="11">
        <v>4</v>
      </c>
      <c r="D204" s="11">
        <v>3</v>
      </c>
      <c r="E204" s="11"/>
      <c r="F204" s="10" t="s">
        <v>136</v>
      </c>
      <c r="G204" s="10"/>
      <c r="H204" s="11">
        <v>3</v>
      </c>
      <c r="I204" s="12">
        <v>110</v>
      </c>
      <c r="J204" s="13">
        <v>3</v>
      </c>
      <c r="K204" s="12"/>
      <c r="L204" s="106">
        <v>110</v>
      </c>
      <c r="M204" s="107">
        <v>3</v>
      </c>
      <c r="N204" s="106"/>
      <c r="O204" s="12">
        <v>120</v>
      </c>
      <c r="P204" s="13">
        <v>3</v>
      </c>
      <c r="Q204" s="12"/>
      <c r="R204" s="106">
        <v>110</v>
      </c>
      <c r="S204" s="107">
        <v>3</v>
      </c>
      <c r="T204" s="106"/>
      <c r="U204" s="35"/>
      <c r="V204" s="35"/>
      <c r="W204" s="35"/>
      <c r="X204" s="20"/>
      <c r="Y204" s="11"/>
      <c r="Z204" s="11"/>
      <c r="AA204" s="38">
        <f>SUM(I204*J204)+(L204*M204)+(O204*P204)+(R204*S204)+(U204*V204)+(X204*Y204)</f>
        <v>1350</v>
      </c>
      <c r="AB204" s="17" t="e">
        <f>AVERAGE(K204,N204,Q204,T204,W204,Z204)</f>
        <v>#DIV/0!</v>
      </c>
    </row>
    <row r="205" spans="1:28" hidden="1" x14ac:dyDescent="0.2">
      <c r="B205" s="10" t="s">
        <v>137</v>
      </c>
      <c r="C205" s="86" t="s">
        <v>152</v>
      </c>
      <c r="D205" s="145" t="s">
        <v>153</v>
      </c>
      <c r="E205" s="103">
        <v>0.75</v>
      </c>
      <c r="F205" s="86" t="s">
        <v>154</v>
      </c>
      <c r="G205" s="11"/>
      <c r="H205" s="86">
        <v>6</v>
      </c>
      <c r="I205" s="12"/>
      <c r="J205" s="13"/>
      <c r="K205" s="12"/>
      <c r="L205" s="106"/>
      <c r="M205" s="107"/>
      <c r="N205" s="106"/>
      <c r="O205" s="12"/>
      <c r="P205" s="13"/>
      <c r="Q205" s="12"/>
      <c r="R205" s="106"/>
      <c r="S205" s="107"/>
      <c r="T205" s="106"/>
      <c r="U205" s="35"/>
      <c r="V205" s="35"/>
      <c r="W205" s="35"/>
      <c r="X205" s="20"/>
      <c r="Y205" s="11"/>
      <c r="Z205" s="11"/>
      <c r="AA205" s="38">
        <f>SUM(I205*J205)+(L205*M205)+(O205*P205)+(R205*S205)+(U205*V205)+(X205*Y205)</f>
        <v>0</v>
      </c>
      <c r="AB205" s="17" t="e">
        <f>AVERAGE(K205,N205,Q205,T205,W205,Z205)</f>
        <v>#DIV/0!</v>
      </c>
    </row>
    <row r="206" spans="1:28" hidden="1" x14ac:dyDescent="0.2">
      <c r="B206" s="10" t="s">
        <v>139</v>
      </c>
      <c r="C206" s="86" t="s">
        <v>152</v>
      </c>
      <c r="D206" s="145" t="s">
        <v>153</v>
      </c>
      <c r="E206" s="103">
        <v>0.75</v>
      </c>
      <c r="F206" s="86" t="s">
        <v>154</v>
      </c>
      <c r="G206" s="11"/>
      <c r="H206" s="86">
        <v>6</v>
      </c>
      <c r="I206" s="12"/>
      <c r="J206" s="13"/>
      <c r="K206" s="12"/>
      <c r="L206" s="106"/>
      <c r="M206" s="107"/>
      <c r="N206" s="106"/>
      <c r="O206" s="12"/>
      <c r="P206" s="13"/>
      <c r="Q206" s="12"/>
      <c r="R206" s="106"/>
      <c r="S206" s="107"/>
      <c r="T206" s="106"/>
      <c r="U206" s="35"/>
      <c r="V206" s="35"/>
      <c r="W206" s="35"/>
      <c r="X206" s="20"/>
      <c r="Y206" s="11"/>
      <c r="Z206" s="11"/>
      <c r="AA206" s="39">
        <f t="shared" si="32"/>
        <v>0</v>
      </c>
      <c r="AB206" s="17" t="e">
        <f t="shared" si="33"/>
        <v>#DIV/0!</v>
      </c>
    </row>
    <row r="207" spans="1:28" x14ac:dyDescent="0.2">
      <c r="B207" s="206" t="str">
        <f>'Exercise Selection'!C3</f>
        <v>(B1) Front Squat/Zombie Squat</v>
      </c>
      <c r="C207" s="207"/>
      <c r="D207" s="207"/>
      <c r="E207" s="207"/>
      <c r="F207" s="207"/>
      <c r="G207" s="207"/>
      <c r="H207" s="207"/>
      <c r="I207" s="202" t="s">
        <v>119</v>
      </c>
      <c r="J207" s="203"/>
      <c r="K207" s="203"/>
      <c r="L207" s="202" t="s">
        <v>120</v>
      </c>
      <c r="M207" s="203"/>
      <c r="N207" s="203"/>
      <c r="O207" s="202" t="s">
        <v>121</v>
      </c>
      <c r="P207" s="203"/>
      <c r="Q207" s="203"/>
      <c r="R207" s="202" t="s">
        <v>122</v>
      </c>
      <c r="S207" s="203"/>
      <c r="T207" s="203"/>
      <c r="U207" s="202" t="s">
        <v>123</v>
      </c>
      <c r="V207" s="203"/>
      <c r="W207" s="203"/>
      <c r="X207" s="202" t="s">
        <v>124</v>
      </c>
      <c r="Y207" s="203"/>
      <c r="Z207" s="203"/>
      <c r="AA207" s="202" t="s">
        <v>126</v>
      </c>
      <c r="AB207" s="212" t="s">
        <v>127</v>
      </c>
    </row>
    <row r="208" spans="1:28" x14ac:dyDescent="0.2">
      <c r="B208" s="202"/>
      <c r="C208" s="203"/>
      <c r="D208" s="203"/>
      <c r="E208" s="203"/>
      <c r="F208" s="203"/>
      <c r="G208" s="203"/>
      <c r="H208" s="203"/>
      <c r="I208" s="148"/>
      <c r="J208" s="148"/>
      <c r="K208" s="148"/>
      <c r="L208" s="148"/>
      <c r="M208" s="148"/>
      <c r="N208" s="148"/>
      <c r="O208" s="148"/>
      <c r="P208" s="148"/>
      <c r="Q208" s="148"/>
      <c r="R208" s="148"/>
      <c r="S208" s="148"/>
      <c r="T208" s="148"/>
      <c r="U208" s="148"/>
      <c r="V208" s="148"/>
      <c r="W208" s="148"/>
      <c r="X208" s="148"/>
      <c r="Y208" s="148"/>
      <c r="Z208" s="148"/>
      <c r="AA208" s="203"/>
      <c r="AB208" s="213"/>
    </row>
    <row r="209" spans="2:28" s="111" customFormat="1" x14ac:dyDescent="0.2">
      <c r="B209" s="89" t="s">
        <v>128</v>
      </c>
      <c r="C209" s="90" t="s">
        <v>129</v>
      </c>
      <c r="D209" s="90" t="s">
        <v>38</v>
      </c>
      <c r="E209" s="90" t="s">
        <v>130</v>
      </c>
      <c r="F209" s="90" t="s">
        <v>131</v>
      </c>
      <c r="G209" s="91" t="s">
        <v>132</v>
      </c>
      <c r="H209" s="81" t="s">
        <v>133</v>
      </c>
      <c r="I209" s="83" t="s">
        <v>134</v>
      </c>
      <c r="J209" s="83" t="s">
        <v>135</v>
      </c>
      <c r="K209" s="83" t="s">
        <v>133</v>
      </c>
      <c r="L209" s="83" t="s">
        <v>134</v>
      </c>
      <c r="M209" s="83" t="s">
        <v>135</v>
      </c>
      <c r="N209" s="83" t="s">
        <v>133</v>
      </c>
      <c r="O209" s="83" t="s">
        <v>134</v>
      </c>
      <c r="P209" s="83" t="s">
        <v>135</v>
      </c>
      <c r="Q209" s="83" t="s">
        <v>133</v>
      </c>
      <c r="R209" s="83" t="s">
        <v>134</v>
      </c>
      <c r="S209" s="83" t="s">
        <v>135</v>
      </c>
      <c r="T209" s="83" t="s">
        <v>133</v>
      </c>
      <c r="U209" s="83" t="s">
        <v>134</v>
      </c>
      <c r="V209" s="83" t="s">
        <v>135</v>
      </c>
      <c r="W209" s="83" t="s">
        <v>133</v>
      </c>
      <c r="X209" s="83" t="s">
        <v>134</v>
      </c>
      <c r="Y209" s="83" t="s">
        <v>135</v>
      </c>
      <c r="Z209" s="84" t="s">
        <v>133</v>
      </c>
      <c r="AA209" s="203"/>
      <c r="AB209" s="213"/>
    </row>
    <row r="210" spans="2:28" x14ac:dyDescent="0.2">
      <c r="B210" s="10" t="s">
        <v>59</v>
      </c>
      <c r="C210" s="10">
        <v>2</v>
      </c>
      <c r="D210" s="10">
        <v>10</v>
      </c>
      <c r="E210" s="10"/>
      <c r="F210" s="10" t="s">
        <v>136</v>
      </c>
      <c r="G210" s="10"/>
      <c r="H210" s="10">
        <v>2</v>
      </c>
      <c r="I210" s="12">
        <v>20</v>
      </c>
      <c r="J210" s="13">
        <v>10</v>
      </c>
      <c r="K210" s="12"/>
      <c r="L210" s="106">
        <v>20</v>
      </c>
      <c r="M210" s="107">
        <v>10</v>
      </c>
      <c r="N210" s="106"/>
      <c r="O210" s="12"/>
      <c r="P210" s="13"/>
      <c r="Q210" s="12"/>
      <c r="R210" s="106"/>
      <c r="S210" s="107"/>
      <c r="T210" s="106"/>
      <c r="U210" s="33"/>
      <c r="V210" s="34"/>
      <c r="W210" s="33"/>
      <c r="X210" s="14"/>
      <c r="Y210" s="10"/>
      <c r="Z210" s="10"/>
      <c r="AA210" s="37">
        <f>SUM(I210*J210)+(L210*M210)+(O210*P210)+(R210*S210)+(U210*V210)+(X210*Y210)</f>
        <v>400</v>
      </c>
      <c r="AB210" s="17" t="e">
        <f>AVERAGE(K210,N210,Q210,T210,W210,Z210)</f>
        <v>#DIV/0!</v>
      </c>
    </row>
    <row r="211" spans="2:28" x14ac:dyDescent="0.2">
      <c r="B211" s="10" t="s">
        <v>60</v>
      </c>
      <c r="C211" s="10">
        <v>3</v>
      </c>
      <c r="D211" s="10">
        <v>10</v>
      </c>
      <c r="E211" s="10"/>
      <c r="F211" s="10" t="s">
        <v>136</v>
      </c>
      <c r="G211" s="10"/>
      <c r="H211" s="10">
        <v>1</v>
      </c>
      <c r="I211" s="12">
        <v>20</v>
      </c>
      <c r="J211" s="13">
        <v>10</v>
      </c>
      <c r="K211" s="12"/>
      <c r="L211" s="106">
        <v>30</v>
      </c>
      <c r="M211" s="107">
        <v>10</v>
      </c>
      <c r="N211" s="106"/>
      <c r="O211" s="12">
        <v>30</v>
      </c>
      <c r="P211" s="13">
        <v>10</v>
      </c>
      <c r="Q211" s="12"/>
      <c r="R211" s="106"/>
      <c r="S211" s="107"/>
      <c r="T211" s="106"/>
      <c r="U211" s="33"/>
      <c r="V211" s="33"/>
      <c r="W211" s="33"/>
      <c r="X211" s="14"/>
      <c r="Y211" s="10"/>
      <c r="Z211" s="10"/>
      <c r="AA211" s="38">
        <f t="shared" ref="AA211:AA217" si="34">SUM(I211*J211)+(L211*M211)+(O211*P211)+(R211*S211)+(U211*V211)+(X211*Y211)</f>
        <v>800</v>
      </c>
      <c r="AB211" s="17" t="e">
        <f t="shared" ref="AB211:AB217" si="35">AVERAGE(K211,N211,Q211,T211,W211,Z211)</f>
        <v>#DIV/0!</v>
      </c>
    </row>
    <row r="212" spans="2:28" x14ac:dyDescent="0.2">
      <c r="B212" s="10" t="s">
        <v>61</v>
      </c>
      <c r="C212" s="10">
        <v>4</v>
      </c>
      <c r="D212" s="10">
        <v>8</v>
      </c>
      <c r="E212" s="10"/>
      <c r="F212" s="10" t="s">
        <v>136</v>
      </c>
      <c r="G212" s="10"/>
      <c r="H212" s="10">
        <v>2</v>
      </c>
      <c r="I212" s="12">
        <v>30</v>
      </c>
      <c r="J212" s="13">
        <v>8</v>
      </c>
      <c r="K212" s="12"/>
      <c r="L212" s="106">
        <v>35</v>
      </c>
      <c r="M212" s="107">
        <v>8</v>
      </c>
      <c r="N212" s="106"/>
      <c r="O212" s="12">
        <v>40</v>
      </c>
      <c r="P212" s="13">
        <v>8</v>
      </c>
      <c r="Q212" s="12"/>
      <c r="R212" s="106">
        <v>40</v>
      </c>
      <c r="S212" s="107">
        <v>8</v>
      </c>
      <c r="T212" s="106"/>
      <c r="U212" s="33"/>
      <c r="V212" s="33"/>
      <c r="W212" s="33"/>
      <c r="X212" s="14"/>
      <c r="Y212" s="10"/>
      <c r="Z212" s="10"/>
      <c r="AA212" s="38">
        <f t="shared" si="34"/>
        <v>1160</v>
      </c>
      <c r="AB212" s="17" t="e">
        <f t="shared" si="35"/>
        <v>#DIV/0!</v>
      </c>
    </row>
    <row r="213" spans="2:28" x14ac:dyDescent="0.2">
      <c r="B213" s="10" t="s">
        <v>62</v>
      </c>
      <c r="C213" s="11">
        <v>2</v>
      </c>
      <c r="D213" s="11">
        <v>8</v>
      </c>
      <c r="E213" s="11"/>
      <c r="F213" s="10" t="s">
        <v>136</v>
      </c>
      <c r="G213" s="10"/>
      <c r="H213" s="11">
        <v>1</v>
      </c>
      <c r="I213" s="12">
        <v>40</v>
      </c>
      <c r="J213" s="13">
        <v>8</v>
      </c>
      <c r="K213" s="12"/>
      <c r="L213" s="106">
        <v>45</v>
      </c>
      <c r="M213" s="107">
        <v>8</v>
      </c>
      <c r="N213" s="106"/>
      <c r="O213" s="12"/>
      <c r="P213" s="13"/>
      <c r="Q213" s="12"/>
      <c r="R213" s="106"/>
      <c r="S213" s="107"/>
      <c r="T213" s="106"/>
      <c r="U213" s="35"/>
      <c r="V213" s="35"/>
      <c r="W213" s="35"/>
      <c r="X213" s="20"/>
      <c r="Y213" s="11"/>
      <c r="Z213" s="11"/>
      <c r="AA213" s="38">
        <f>SUM(I213*J213)+(L213*M213)+(O213*P213)+(R213*S213)+(U213*V213)+(X213*Y213)</f>
        <v>680</v>
      </c>
      <c r="AB213" s="17" t="e">
        <f>AVERAGE(K213,N213,Q213,T213,W213,Z213)</f>
        <v>#DIV/0!</v>
      </c>
    </row>
    <row r="214" spans="2:28" x14ac:dyDescent="0.2">
      <c r="B214" s="10" t="s">
        <v>63</v>
      </c>
      <c r="C214" s="10">
        <v>3</v>
      </c>
      <c r="D214" s="10">
        <v>6</v>
      </c>
      <c r="E214" s="10"/>
      <c r="F214" s="10" t="s">
        <v>136</v>
      </c>
      <c r="G214" s="10"/>
      <c r="H214" s="10">
        <v>2</v>
      </c>
      <c r="I214" s="12">
        <v>50</v>
      </c>
      <c r="J214" s="13">
        <v>6</v>
      </c>
      <c r="K214" s="12"/>
      <c r="L214" s="106">
        <v>50</v>
      </c>
      <c r="M214" s="107">
        <v>6</v>
      </c>
      <c r="N214" s="106"/>
      <c r="O214" s="12">
        <v>55</v>
      </c>
      <c r="P214" s="13">
        <v>6</v>
      </c>
      <c r="Q214" s="12"/>
      <c r="R214" s="106"/>
      <c r="S214" s="107"/>
      <c r="T214" s="106"/>
      <c r="U214" s="35"/>
      <c r="V214" s="35"/>
      <c r="W214" s="35"/>
      <c r="X214" s="20"/>
      <c r="Y214" s="11"/>
      <c r="Z214" s="11"/>
      <c r="AA214" s="38">
        <f>SUM(I214*J214)+(L214*M214)+(O214*P214)+(R214*S214)+(U214*V214)+(X214*Y214)</f>
        <v>930</v>
      </c>
      <c r="AB214" s="17" t="e">
        <f>AVERAGE(K214,N214,Q214,T214,W214,Z214)</f>
        <v>#DIV/0!</v>
      </c>
    </row>
    <row r="215" spans="2:28" x14ac:dyDescent="0.2">
      <c r="B215" s="85" t="s">
        <v>64</v>
      </c>
      <c r="C215" s="11">
        <v>4</v>
      </c>
      <c r="D215" s="11">
        <v>6</v>
      </c>
      <c r="E215" s="11"/>
      <c r="F215" s="10" t="s">
        <v>136</v>
      </c>
      <c r="G215" s="10"/>
      <c r="H215" s="11">
        <v>1</v>
      </c>
      <c r="I215" s="12">
        <v>55</v>
      </c>
      <c r="J215" s="13">
        <v>6</v>
      </c>
      <c r="K215" s="12"/>
      <c r="L215" s="106">
        <v>55</v>
      </c>
      <c r="M215" s="107">
        <v>6</v>
      </c>
      <c r="N215" s="106"/>
      <c r="O215" s="12">
        <v>50</v>
      </c>
      <c r="P215" s="13">
        <v>6</v>
      </c>
      <c r="Q215" s="12"/>
      <c r="R215" s="106"/>
      <c r="S215" s="107"/>
      <c r="T215" s="106"/>
      <c r="U215" s="35"/>
      <c r="V215" s="35"/>
      <c r="W215" s="35"/>
      <c r="X215" s="20"/>
      <c r="Y215" s="11"/>
      <c r="Z215" s="11"/>
      <c r="AA215" s="38">
        <f>SUM(I215*J215)+(L215*M215)+(O215*P215)+(R215*S215)+(U215*V215)+(X215*Y215)</f>
        <v>960</v>
      </c>
      <c r="AB215" s="17" t="e">
        <f>AVERAGE(K215,N215,Q215,T215,W215,Z215)</f>
        <v>#DIV/0!</v>
      </c>
    </row>
    <row r="216" spans="2:28" hidden="1" x14ac:dyDescent="0.2">
      <c r="B216" s="10" t="s">
        <v>137</v>
      </c>
      <c r="C216" s="86" t="s">
        <v>152</v>
      </c>
      <c r="D216" s="145" t="s">
        <v>153</v>
      </c>
      <c r="E216" s="103">
        <v>0.75</v>
      </c>
      <c r="F216" s="86" t="s">
        <v>154</v>
      </c>
      <c r="G216" s="11"/>
      <c r="H216" s="86">
        <v>6</v>
      </c>
      <c r="I216" s="12"/>
      <c r="J216" s="13"/>
      <c r="K216" s="12"/>
      <c r="L216" s="106"/>
      <c r="M216" s="107"/>
      <c r="N216" s="106"/>
      <c r="O216" s="12"/>
      <c r="P216" s="13"/>
      <c r="Q216" s="12"/>
      <c r="R216" s="106"/>
      <c r="S216" s="107"/>
      <c r="T216" s="106"/>
      <c r="U216" s="35"/>
      <c r="V216" s="35"/>
      <c r="W216" s="35"/>
      <c r="X216" s="20"/>
      <c r="Y216" s="11"/>
      <c r="Z216" s="11"/>
      <c r="AA216" s="38">
        <f>SUM(I216*J216)+(L216*M216)+(O216*P216)+(R216*S216)+(U216*V216)+(X216*Y216)</f>
        <v>0</v>
      </c>
      <c r="AB216" s="17" t="e">
        <f>AVERAGE(K216,N216,Q216,T216,W216,Z216)</f>
        <v>#DIV/0!</v>
      </c>
    </row>
    <row r="217" spans="2:28" hidden="1" x14ac:dyDescent="0.2">
      <c r="B217" s="10" t="s">
        <v>139</v>
      </c>
      <c r="C217" s="86" t="s">
        <v>152</v>
      </c>
      <c r="D217" s="145" t="s">
        <v>153</v>
      </c>
      <c r="E217" s="103">
        <v>0.75</v>
      </c>
      <c r="F217" s="86" t="s">
        <v>154</v>
      </c>
      <c r="G217" s="11"/>
      <c r="H217" s="86">
        <v>6</v>
      </c>
      <c r="I217" s="12"/>
      <c r="J217" s="13"/>
      <c r="K217" s="12"/>
      <c r="L217" s="106"/>
      <c r="M217" s="107"/>
      <c r="N217" s="106"/>
      <c r="O217" s="12"/>
      <c r="P217" s="13"/>
      <c r="Q217" s="12"/>
      <c r="R217" s="106"/>
      <c r="S217" s="107"/>
      <c r="T217" s="106"/>
      <c r="U217" s="35"/>
      <c r="V217" s="35"/>
      <c r="W217" s="35"/>
      <c r="X217" s="20"/>
      <c r="Y217" s="11"/>
      <c r="Z217" s="11"/>
      <c r="AA217" s="39">
        <f t="shared" si="34"/>
        <v>0</v>
      </c>
      <c r="AB217" s="17" t="e">
        <f t="shared" si="35"/>
        <v>#DIV/0!</v>
      </c>
    </row>
    <row r="218" spans="2:28" x14ac:dyDescent="0.2">
      <c r="B218" s="206" t="str">
        <f>'Exercise Selection'!C4</f>
        <v>(B2) Single Leg RDL</v>
      </c>
      <c r="C218" s="207"/>
      <c r="D218" s="207"/>
      <c r="E218" s="207"/>
      <c r="F218" s="207"/>
      <c r="G218" s="207"/>
      <c r="H218" s="207"/>
      <c r="I218" s="202" t="s">
        <v>119</v>
      </c>
      <c r="J218" s="203"/>
      <c r="K218" s="203"/>
      <c r="L218" s="202" t="s">
        <v>120</v>
      </c>
      <c r="M218" s="203"/>
      <c r="N218" s="203"/>
      <c r="O218" s="202" t="s">
        <v>121</v>
      </c>
      <c r="P218" s="203"/>
      <c r="Q218" s="203"/>
      <c r="R218" s="202" t="s">
        <v>122</v>
      </c>
      <c r="S218" s="203"/>
      <c r="T218" s="203"/>
      <c r="U218" s="202" t="s">
        <v>123</v>
      </c>
      <c r="V218" s="203"/>
      <c r="W218" s="203"/>
      <c r="X218" s="202" t="s">
        <v>124</v>
      </c>
      <c r="Y218" s="203"/>
      <c r="Z218" s="203"/>
      <c r="AA218" s="202" t="s">
        <v>126</v>
      </c>
      <c r="AB218" s="212" t="s">
        <v>127</v>
      </c>
    </row>
    <row r="219" spans="2:28" x14ac:dyDescent="0.2">
      <c r="B219" s="202"/>
      <c r="C219" s="203"/>
      <c r="D219" s="203"/>
      <c r="E219" s="203"/>
      <c r="F219" s="203"/>
      <c r="G219" s="203"/>
      <c r="H219" s="203"/>
      <c r="I219" s="148"/>
      <c r="J219" s="148"/>
      <c r="K219" s="148"/>
      <c r="L219" s="148"/>
      <c r="M219" s="148"/>
      <c r="N219" s="148"/>
      <c r="O219" s="148"/>
      <c r="P219" s="148"/>
      <c r="Q219" s="148"/>
      <c r="R219" s="148"/>
      <c r="S219" s="148"/>
      <c r="T219" s="148"/>
      <c r="U219" s="148"/>
      <c r="V219" s="148"/>
      <c r="W219" s="148"/>
      <c r="X219" s="148"/>
      <c r="Y219" s="148"/>
      <c r="Z219" s="148"/>
      <c r="AA219" s="203"/>
      <c r="AB219" s="213"/>
    </row>
    <row r="220" spans="2:28" s="111" customFormat="1" x14ac:dyDescent="0.2">
      <c r="B220" s="89" t="s">
        <v>128</v>
      </c>
      <c r="C220" s="90" t="s">
        <v>129</v>
      </c>
      <c r="D220" s="90" t="s">
        <v>38</v>
      </c>
      <c r="E220" s="90" t="s">
        <v>130</v>
      </c>
      <c r="F220" s="90" t="s">
        <v>131</v>
      </c>
      <c r="G220" s="91" t="s">
        <v>132</v>
      </c>
      <c r="H220" s="81" t="s">
        <v>133</v>
      </c>
      <c r="I220" s="83" t="s">
        <v>134</v>
      </c>
      <c r="J220" s="83" t="s">
        <v>135</v>
      </c>
      <c r="K220" s="83" t="s">
        <v>133</v>
      </c>
      <c r="L220" s="83" t="s">
        <v>134</v>
      </c>
      <c r="M220" s="83" t="s">
        <v>135</v>
      </c>
      <c r="N220" s="83" t="s">
        <v>133</v>
      </c>
      <c r="O220" s="83" t="s">
        <v>134</v>
      </c>
      <c r="P220" s="83" t="s">
        <v>135</v>
      </c>
      <c r="Q220" s="83" t="s">
        <v>133</v>
      </c>
      <c r="R220" s="83" t="s">
        <v>134</v>
      </c>
      <c r="S220" s="83" t="s">
        <v>135</v>
      </c>
      <c r="T220" s="83" t="s">
        <v>133</v>
      </c>
      <c r="U220" s="83" t="s">
        <v>134</v>
      </c>
      <c r="V220" s="83" t="s">
        <v>135</v>
      </c>
      <c r="W220" s="83" t="s">
        <v>133</v>
      </c>
      <c r="X220" s="83" t="s">
        <v>134</v>
      </c>
      <c r="Y220" s="83" t="s">
        <v>135</v>
      </c>
      <c r="Z220" s="84" t="s">
        <v>133</v>
      </c>
      <c r="AA220" s="203"/>
      <c r="AB220" s="213"/>
    </row>
    <row r="221" spans="2:28" x14ac:dyDescent="0.2">
      <c r="B221" s="10" t="s">
        <v>59</v>
      </c>
      <c r="C221" s="10">
        <v>2</v>
      </c>
      <c r="D221" s="10">
        <v>12</v>
      </c>
      <c r="E221" s="10"/>
      <c r="F221" s="10" t="s">
        <v>140</v>
      </c>
      <c r="G221" s="10"/>
      <c r="H221" s="10">
        <v>2</v>
      </c>
      <c r="I221" s="12">
        <v>25</v>
      </c>
      <c r="J221" s="13">
        <v>12</v>
      </c>
      <c r="K221" s="12"/>
      <c r="L221" s="106">
        <v>25</v>
      </c>
      <c r="M221" s="107">
        <v>12</v>
      </c>
      <c r="N221" s="106"/>
      <c r="O221" s="12"/>
      <c r="P221" s="13"/>
      <c r="Q221" s="12"/>
      <c r="R221" s="106"/>
      <c r="S221" s="107"/>
      <c r="T221" s="106"/>
      <c r="U221" s="33"/>
      <c r="V221" s="34"/>
      <c r="W221" s="33"/>
      <c r="X221" s="14"/>
      <c r="Y221" s="10"/>
      <c r="Z221" s="10"/>
      <c r="AA221" s="37">
        <f>SUM(I221*J221)+(L221*M221)+(O221*P221)+(R221*S221)+(U221*V221)+(X221*Y221)</f>
        <v>600</v>
      </c>
      <c r="AB221" s="17" t="e">
        <f t="shared" ref="AB221:AB228" si="36">AVERAGE(K221,N221,Q221,T221,W221,Z221)</f>
        <v>#DIV/0!</v>
      </c>
    </row>
    <row r="222" spans="2:28" x14ac:dyDescent="0.2">
      <c r="B222" s="10" t="s">
        <v>60</v>
      </c>
      <c r="C222" s="10">
        <v>3</v>
      </c>
      <c r="D222" s="10">
        <v>12</v>
      </c>
      <c r="E222" s="10"/>
      <c r="F222" s="10" t="s">
        <v>140</v>
      </c>
      <c r="G222" s="10"/>
      <c r="H222" s="10">
        <v>1</v>
      </c>
      <c r="I222" s="12">
        <v>25</v>
      </c>
      <c r="J222" s="13">
        <v>12</v>
      </c>
      <c r="K222" s="12"/>
      <c r="L222" s="106">
        <v>25</v>
      </c>
      <c r="M222" s="107">
        <v>12</v>
      </c>
      <c r="N222" s="106"/>
      <c r="O222" s="12">
        <v>25</v>
      </c>
      <c r="P222" s="13">
        <v>12</v>
      </c>
      <c r="Q222" s="12"/>
      <c r="R222" s="106"/>
      <c r="S222" s="107"/>
      <c r="T222" s="106"/>
      <c r="U222" s="33"/>
      <c r="V222" s="33"/>
      <c r="W222" s="33"/>
      <c r="X222" s="14"/>
      <c r="Y222" s="10"/>
      <c r="Z222" s="10"/>
      <c r="AA222" s="38">
        <f t="shared" ref="AA222:AA228" si="37">SUM(I222*J222)+(L222*M222)+(O222*P222)+(R222*S222)+(U222*V222)+(X222*Y222)</f>
        <v>900</v>
      </c>
      <c r="AB222" s="17" t="e">
        <f t="shared" si="36"/>
        <v>#DIV/0!</v>
      </c>
    </row>
    <row r="223" spans="2:28" x14ac:dyDescent="0.2">
      <c r="B223" s="10" t="s">
        <v>61</v>
      </c>
      <c r="C223" s="10">
        <v>4</v>
      </c>
      <c r="D223" s="10">
        <v>10</v>
      </c>
      <c r="E223" s="10"/>
      <c r="F223" s="10" t="s">
        <v>140</v>
      </c>
      <c r="G223" s="10"/>
      <c r="H223" s="10">
        <v>2</v>
      </c>
      <c r="I223" s="12">
        <v>30</v>
      </c>
      <c r="J223" s="13">
        <v>10</v>
      </c>
      <c r="K223" s="12"/>
      <c r="L223" s="106">
        <v>30</v>
      </c>
      <c r="M223" s="107">
        <v>10</v>
      </c>
      <c r="N223" s="106"/>
      <c r="O223" s="12">
        <v>35</v>
      </c>
      <c r="P223" s="13">
        <v>10</v>
      </c>
      <c r="Q223" s="12"/>
      <c r="R223" s="106">
        <v>35</v>
      </c>
      <c r="S223" s="107">
        <v>10</v>
      </c>
      <c r="T223" s="106"/>
      <c r="U223" s="33"/>
      <c r="V223" s="33"/>
      <c r="W223" s="33"/>
      <c r="X223" s="14"/>
      <c r="Y223" s="10"/>
      <c r="Z223" s="10"/>
      <c r="AA223" s="38">
        <f t="shared" si="37"/>
        <v>1300</v>
      </c>
      <c r="AB223" s="17" t="e">
        <f t="shared" si="36"/>
        <v>#DIV/0!</v>
      </c>
    </row>
    <row r="224" spans="2:28" x14ac:dyDescent="0.2">
      <c r="B224" s="10" t="s">
        <v>62</v>
      </c>
      <c r="C224" s="11">
        <v>2</v>
      </c>
      <c r="D224" s="11">
        <v>10</v>
      </c>
      <c r="E224" s="11"/>
      <c r="F224" s="10" t="s">
        <v>140</v>
      </c>
      <c r="G224" s="10"/>
      <c r="H224" s="11">
        <v>1</v>
      </c>
      <c r="I224" s="12">
        <v>40</v>
      </c>
      <c r="J224" s="13">
        <v>10</v>
      </c>
      <c r="K224" s="12"/>
      <c r="L224" s="106">
        <v>40</v>
      </c>
      <c r="M224" s="107">
        <v>10</v>
      </c>
      <c r="N224" s="106"/>
      <c r="O224" s="12"/>
      <c r="P224" s="13"/>
      <c r="Q224" s="12"/>
      <c r="R224" s="106"/>
      <c r="S224" s="107"/>
      <c r="T224" s="106"/>
      <c r="U224" s="35"/>
      <c r="V224" s="35"/>
      <c r="W224" s="35"/>
      <c r="X224" s="20"/>
      <c r="Y224" s="11"/>
      <c r="Z224" s="11"/>
      <c r="AA224" s="38">
        <f>SUM(I224*J224)+(L224*M224)+(O224*P224)+(R224*S224)+(U224*V224)+(X224*Y224)</f>
        <v>800</v>
      </c>
      <c r="AB224" s="17" t="e">
        <f t="shared" si="36"/>
        <v>#DIV/0!</v>
      </c>
    </row>
    <row r="225" spans="2:28" x14ac:dyDescent="0.2">
      <c r="B225" s="10" t="s">
        <v>63</v>
      </c>
      <c r="C225" s="10">
        <v>3</v>
      </c>
      <c r="D225" s="10">
        <v>8</v>
      </c>
      <c r="E225" s="10"/>
      <c r="F225" s="10" t="s">
        <v>140</v>
      </c>
      <c r="G225" s="10"/>
      <c r="H225" s="10">
        <v>2</v>
      </c>
      <c r="I225" s="12">
        <v>40</v>
      </c>
      <c r="J225" s="13">
        <v>8</v>
      </c>
      <c r="K225" s="12"/>
      <c r="L225" s="106">
        <v>40</v>
      </c>
      <c r="M225" s="107">
        <v>8</v>
      </c>
      <c r="N225" s="106"/>
      <c r="O225" s="12">
        <v>40</v>
      </c>
      <c r="P225" s="13">
        <v>8</v>
      </c>
      <c r="Q225" s="12"/>
      <c r="R225" s="106"/>
      <c r="S225" s="107"/>
      <c r="T225" s="106"/>
      <c r="U225" s="35"/>
      <c r="V225" s="35"/>
      <c r="W225" s="35"/>
      <c r="X225" s="20"/>
      <c r="Y225" s="11"/>
      <c r="Z225" s="11"/>
      <c r="AA225" s="38">
        <f>SUM(I225*J225)+(L225*M225)+(O225*P225)+(R225*S225)+(U225*V225)+(X225*Y225)</f>
        <v>960</v>
      </c>
      <c r="AB225" s="17" t="e">
        <f t="shared" si="36"/>
        <v>#DIV/0!</v>
      </c>
    </row>
    <row r="226" spans="2:28" x14ac:dyDescent="0.2">
      <c r="B226" s="10" t="s">
        <v>64</v>
      </c>
      <c r="C226" s="11">
        <v>4</v>
      </c>
      <c r="D226" s="11">
        <v>8</v>
      </c>
      <c r="E226" s="11"/>
      <c r="F226" s="10" t="s">
        <v>140</v>
      </c>
      <c r="G226" s="10"/>
      <c r="H226" s="11">
        <v>1</v>
      </c>
      <c r="I226" s="12">
        <v>40</v>
      </c>
      <c r="J226" s="13">
        <v>8</v>
      </c>
      <c r="K226" s="12"/>
      <c r="L226" s="106">
        <v>40</v>
      </c>
      <c r="M226" s="107">
        <v>8</v>
      </c>
      <c r="N226" s="106"/>
      <c r="O226" s="12">
        <v>40</v>
      </c>
      <c r="P226" s="13">
        <v>8</v>
      </c>
      <c r="Q226" s="12"/>
      <c r="R226" s="106"/>
      <c r="S226" s="107"/>
      <c r="T226" s="106"/>
      <c r="U226" s="35"/>
      <c r="V226" s="35"/>
      <c r="W226" s="35"/>
      <c r="X226" s="20"/>
      <c r="Y226" s="11"/>
      <c r="Z226" s="11"/>
      <c r="AA226" s="38">
        <f>SUM(I226*J226)+(L226*M226)+(O226*P226)+(R226*S226)+(U226*V226)+(X226*Y226)</f>
        <v>960</v>
      </c>
      <c r="AB226" s="17" t="e">
        <f t="shared" si="36"/>
        <v>#DIV/0!</v>
      </c>
    </row>
    <row r="227" spans="2:28" hidden="1" x14ac:dyDescent="0.2">
      <c r="B227" s="10" t="s">
        <v>137</v>
      </c>
      <c r="C227" s="89">
        <v>3</v>
      </c>
      <c r="D227" s="11">
        <v>8</v>
      </c>
      <c r="E227" s="11"/>
      <c r="F227" s="92" t="s">
        <v>157</v>
      </c>
      <c r="G227" s="11"/>
      <c r="H227" s="11">
        <v>8</v>
      </c>
      <c r="I227" s="12"/>
      <c r="J227" s="13"/>
      <c r="K227" s="12"/>
      <c r="L227" s="106"/>
      <c r="M227" s="107"/>
      <c r="N227" s="106"/>
      <c r="O227" s="12"/>
      <c r="P227" s="13"/>
      <c r="Q227" s="12"/>
      <c r="R227" s="106"/>
      <c r="S227" s="107"/>
      <c r="T227" s="106"/>
      <c r="U227" s="35"/>
      <c r="V227" s="35"/>
      <c r="W227" s="35"/>
      <c r="X227" s="20"/>
      <c r="Y227" s="11"/>
      <c r="Z227" s="11"/>
      <c r="AA227" s="38">
        <f>SUM(I227*J227)+(L227*M227)+(O227*P227)+(R227*S227)+(U227*V227)+(X227*Y227)</f>
        <v>0</v>
      </c>
      <c r="AB227" s="17" t="e">
        <f t="shared" si="36"/>
        <v>#DIV/0!</v>
      </c>
    </row>
    <row r="228" spans="2:28" hidden="1" x14ac:dyDescent="0.2">
      <c r="B228" s="10" t="s">
        <v>139</v>
      </c>
      <c r="C228" s="140">
        <v>2</v>
      </c>
      <c r="D228" s="11">
        <v>8</v>
      </c>
      <c r="E228" s="11"/>
      <c r="F228" s="92" t="s">
        <v>157</v>
      </c>
      <c r="G228" s="11"/>
      <c r="H228" s="11">
        <v>9</v>
      </c>
      <c r="I228" s="12"/>
      <c r="J228" s="13"/>
      <c r="K228" s="12"/>
      <c r="L228" s="106"/>
      <c r="M228" s="107"/>
      <c r="N228" s="106"/>
      <c r="O228" s="12"/>
      <c r="P228" s="13"/>
      <c r="Q228" s="12"/>
      <c r="R228" s="106"/>
      <c r="S228" s="107"/>
      <c r="T228" s="106"/>
      <c r="U228" s="35"/>
      <c r="V228" s="35"/>
      <c r="W228" s="35"/>
      <c r="X228" s="20"/>
      <c r="Y228" s="11"/>
      <c r="Z228" s="11"/>
      <c r="AA228" s="39">
        <f t="shared" si="37"/>
        <v>0</v>
      </c>
      <c r="AB228" s="17" t="e">
        <f t="shared" si="36"/>
        <v>#DIV/0!</v>
      </c>
    </row>
    <row r="229" spans="2:28" x14ac:dyDescent="0.2">
      <c r="B229" s="206" t="str">
        <f>'Exercise Selection'!C5</f>
        <v>(C1) Banded TKE</v>
      </c>
      <c r="C229" s="207"/>
      <c r="D229" s="207"/>
      <c r="E229" s="207"/>
      <c r="F229" s="207"/>
      <c r="G229" s="207"/>
      <c r="H229" s="207"/>
      <c r="I229" s="202" t="s">
        <v>119</v>
      </c>
      <c r="J229" s="203"/>
      <c r="K229" s="203"/>
      <c r="L229" s="202" t="s">
        <v>120</v>
      </c>
      <c r="M229" s="203"/>
      <c r="N229" s="203"/>
      <c r="O229" s="202" t="s">
        <v>121</v>
      </c>
      <c r="P229" s="203"/>
      <c r="Q229" s="203"/>
      <c r="R229" s="202" t="s">
        <v>122</v>
      </c>
      <c r="S229" s="203"/>
      <c r="T229" s="203"/>
      <c r="U229" s="202" t="s">
        <v>123</v>
      </c>
      <c r="V229" s="203"/>
      <c r="W229" s="203"/>
      <c r="X229" s="202" t="s">
        <v>124</v>
      </c>
      <c r="Y229" s="203"/>
      <c r="Z229" s="203"/>
      <c r="AA229" s="202" t="s">
        <v>126</v>
      </c>
      <c r="AB229" s="212" t="s">
        <v>127</v>
      </c>
    </row>
    <row r="230" spans="2:28" x14ac:dyDescent="0.2">
      <c r="B230" s="202"/>
      <c r="C230" s="203"/>
      <c r="D230" s="203"/>
      <c r="E230" s="203"/>
      <c r="F230" s="203"/>
      <c r="G230" s="203"/>
      <c r="H230" s="203"/>
      <c r="I230" s="148"/>
      <c r="J230" s="148"/>
      <c r="K230" s="148"/>
      <c r="L230" s="148"/>
      <c r="M230" s="148"/>
      <c r="N230" s="148"/>
      <c r="O230" s="148"/>
      <c r="P230" s="148"/>
      <c r="Q230" s="148"/>
      <c r="R230" s="148"/>
      <c r="S230" s="148"/>
      <c r="T230" s="148"/>
      <c r="U230" s="148"/>
      <c r="V230" s="148"/>
      <c r="W230" s="148"/>
      <c r="X230" s="148"/>
      <c r="Y230" s="148"/>
      <c r="Z230" s="148"/>
      <c r="AA230" s="203"/>
      <c r="AB230" s="213"/>
    </row>
    <row r="231" spans="2:28" s="111" customFormat="1" x14ac:dyDescent="0.2">
      <c r="B231" s="89" t="s">
        <v>128</v>
      </c>
      <c r="C231" s="90" t="s">
        <v>129</v>
      </c>
      <c r="D231" s="90" t="s">
        <v>38</v>
      </c>
      <c r="E231" s="90" t="s">
        <v>130</v>
      </c>
      <c r="F231" s="90" t="s">
        <v>131</v>
      </c>
      <c r="G231" s="91" t="s">
        <v>132</v>
      </c>
      <c r="H231" s="81" t="s">
        <v>133</v>
      </c>
      <c r="I231" s="83" t="s">
        <v>134</v>
      </c>
      <c r="J231" s="83" t="s">
        <v>135</v>
      </c>
      <c r="K231" s="83" t="s">
        <v>133</v>
      </c>
      <c r="L231" s="83" t="s">
        <v>134</v>
      </c>
      <c r="M231" s="83" t="s">
        <v>135</v>
      </c>
      <c r="N231" s="83" t="s">
        <v>133</v>
      </c>
      <c r="O231" s="83" t="s">
        <v>134</v>
      </c>
      <c r="P231" s="83" t="s">
        <v>135</v>
      </c>
      <c r="Q231" s="83" t="s">
        <v>133</v>
      </c>
      <c r="R231" s="83" t="s">
        <v>134</v>
      </c>
      <c r="S231" s="83" t="s">
        <v>135</v>
      </c>
      <c r="T231" s="83" t="s">
        <v>133</v>
      </c>
      <c r="U231" s="83" t="s">
        <v>134</v>
      </c>
      <c r="V231" s="83" t="s">
        <v>135</v>
      </c>
      <c r="W231" s="83" t="s">
        <v>133</v>
      </c>
      <c r="X231" s="83" t="s">
        <v>134</v>
      </c>
      <c r="Y231" s="83" t="s">
        <v>135</v>
      </c>
      <c r="Z231" s="84" t="s">
        <v>133</v>
      </c>
      <c r="AA231" s="203"/>
      <c r="AB231" s="213"/>
    </row>
    <row r="232" spans="2:28" x14ac:dyDescent="0.2">
      <c r="B232" s="10" t="s">
        <v>59</v>
      </c>
      <c r="C232" s="10">
        <v>2</v>
      </c>
      <c r="D232" s="10">
        <v>8</v>
      </c>
      <c r="E232" s="10"/>
      <c r="F232" s="10" t="s">
        <v>140</v>
      </c>
      <c r="G232" s="10"/>
      <c r="H232" s="10">
        <v>2</v>
      </c>
      <c r="I232" s="12"/>
      <c r="J232" s="13">
        <v>8</v>
      </c>
      <c r="K232" s="12"/>
      <c r="L232" s="106"/>
      <c r="M232" s="107">
        <v>8</v>
      </c>
      <c r="N232" s="106"/>
      <c r="O232" s="12"/>
      <c r="P232" s="13"/>
      <c r="Q232" s="12"/>
      <c r="R232" s="106"/>
      <c r="S232" s="107"/>
      <c r="T232" s="106"/>
      <c r="U232" s="33"/>
      <c r="V232" s="34"/>
      <c r="W232" s="33"/>
      <c r="X232" s="14"/>
      <c r="Y232" s="10"/>
      <c r="Z232" s="10"/>
      <c r="AA232" s="37">
        <f>SUM(I232*J232)+(L232*M232)+(O232*P232)+(R232*S232)+(U232*V232)+(X232*Y232)</f>
        <v>0</v>
      </c>
      <c r="AB232" s="17" t="e">
        <f t="shared" ref="AB232:AB239" si="38">AVERAGE(K232,N232,Q232,T232,W232,Z232)</f>
        <v>#DIV/0!</v>
      </c>
    </row>
    <row r="233" spans="2:28" x14ac:dyDescent="0.2">
      <c r="B233" s="10" t="s">
        <v>60</v>
      </c>
      <c r="C233" s="10">
        <v>3</v>
      </c>
      <c r="D233" s="10">
        <v>8</v>
      </c>
      <c r="E233" s="10"/>
      <c r="F233" s="10" t="s">
        <v>140</v>
      </c>
      <c r="G233" s="10"/>
      <c r="H233" s="10">
        <v>1</v>
      </c>
      <c r="I233" s="12"/>
      <c r="J233" s="13">
        <v>8</v>
      </c>
      <c r="K233" s="12"/>
      <c r="L233" s="106"/>
      <c r="M233" s="107">
        <v>8</v>
      </c>
      <c r="N233" s="106"/>
      <c r="O233" s="12"/>
      <c r="P233" s="13">
        <v>8</v>
      </c>
      <c r="Q233" s="12"/>
      <c r="R233" s="106"/>
      <c r="S233" s="107"/>
      <c r="T233" s="106"/>
      <c r="U233" s="33"/>
      <c r="V233" s="33"/>
      <c r="W233" s="33"/>
      <c r="X233" s="14"/>
      <c r="Y233" s="10"/>
      <c r="Z233" s="10"/>
      <c r="AA233" s="38">
        <f t="shared" ref="AA233:AA239" si="39">SUM(I233*J233)+(L233*M233)+(O233*P233)+(R233*S233)+(U233*V233)+(X233*Y233)</f>
        <v>0</v>
      </c>
      <c r="AB233" s="17" t="e">
        <f t="shared" si="38"/>
        <v>#DIV/0!</v>
      </c>
    </row>
    <row r="234" spans="2:28" x14ac:dyDescent="0.2">
      <c r="B234" s="10" t="s">
        <v>61</v>
      </c>
      <c r="C234" s="10">
        <v>3</v>
      </c>
      <c r="D234" s="10">
        <v>10</v>
      </c>
      <c r="E234" s="10"/>
      <c r="F234" s="10" t="s">
        <v>140</v>
      </c>
      <c r="G234" s="10"/>
      <c r="H234" s="10">
        <v>2</v>
      </c>
      <c r="I234" s="12"/>
      <c r="J234" s="13">
        <v>10</v>
      </c>
      <c r="K234" s="12"/>
      <c r="L234" s="106"/>
      <c r="M234" s="107">
        <v>10</v>
      </c>
      <c r="N234" s="106"/>
      <c r="O234" s="12"/>
      <c r="P234" s="13">
        <v>10</v>
      </c>
      <c r="Q234" s="12"/>
      <c r="R234" s="106"/>
      <c r="S234" s="107">
        <v>10</v>
      </c>
      <c r="T234" s="106"/>
      <c r="U234" s="33"/>
      <c r="V234" s="33"/>
      <c r="W234" s="33"/>
      <c r="X234" s="14"/>
      <c r="Y234" s="10"/>
      <c r="Z234" s="10"/>
      <c r="AA234" s="38">
        <f t="shared" si="39"/>
        <v>0</v>
      </c>
      <c r="AB234" s="17" t="e">
        <f t="shared" si="38"/>
        <v>#DIV/0!</v>
      </c>
    </row>
    <row r="235" spans="2:28" x14ac:dyDescent="0.2">
      <c r="B235" s="10" t="s">
        <v>62</v>
      </c>
      <c r="C235" s="11">
        <v>2</v>
      </c>
      <c r="D235" s="11">
        <v>10</v>
      </c>
      <c r="E235" s="11"/>
      <c r="F235" s="10" t="s">
        <v>140</v>
      </c>
      <c r="G235" s="10"/>
      <c r="H235" s="11">
        <v>1</v>
      </c>
      <c r="I235" s="12"/>
      <c r="J235" s="13">
        <v>10</v>
      </c>
      <c r="K235" s="12"/>
      <c r="L235" s="106"/>
      <c r="M235" s="107">
        <v>10</v>
      </c>
      <c r="N235" s="106"/>
      <c r="O235" s="12"/>
      <c r="P235" s="13"/>
      <c r="Q235" s="12"/>
      <c r="R235" s="106"/>
      <c r="S235" s="107"/>
      <c r="T235" s="106"/>
      <c r="U235" s="35"/>
      <c r="V235" s="35"/>
      <c r="W235" s="35"/>
      <c r="X235" s="20"/>
      <c r="Y235" s="11"/>
      <c r="Z235" s="11"/>
      <c r="AA235" s="38">
        <f>SUM(I235*J235)+(L235*M235)+(O235*P235)+(R235*S235)+(U235*V235)+(X235*Y235)</f>
        <v>0</v>
      </c>
      <c r="AB235" s="17" t="e">
        <f>AVERAGE(K235,N235,Q235,T235,W235,Z235)</f>
        <v>#DIV/0!</v>
      </c>
    </row>
    <row r="236" spans="2:28" x14ac:dyDescent="0.2">
      <c r="B236" s="10" t="s">
        <v>63</v>
      </c>
      <c r="C236" s="10">
        <v>3</v>
      </c>
      <c r="D236" s="10">
        <v>12</v>
      </c>
      <c r="E236" s="10"/>
      <c r="F236" s="10" t="s">
        <v>140</v>
      </c>
      <c r="G236" s="10"/>
      <c r="H236" s="10">
        <v>2</v>
      </c>
      <c r="I236" s="12"/>
      <c r="J236" s="13">
        <v>12</v>
      </c>
      <c r="K236" s="12"/>
      <c r="L236" s="106"/>
      <c r="M236" s="107">
        <v>12</v>
      </c>
      <c r="N236" s="106"/>
      <c r="O236" s="12"/>
      <c r="P236" s="13">
        <v>12</v>
      </c>
      <c r="Q236" s="12"/>
      <c r="R236" s="106"/>
      <c r="S236" s="107"/>
      <c r="T236" s="106"/>
      <c r="U236" s="35"/>
      <c r="V236" s="35"/>
      <c r="W236" s="35"/>
      <c r="X236" s="20"/>
      <c r="Y236" s="11"/>
      <c r="Z236" s="11"/>
      <c r="AA236" s="38">
        <f>SUM(I236*J236)+(L236*M236)+(O236*P236)+(R236*S236)+(U236*V236)+(X236*Y236)</f>
        <v>0</v>
      </c>
      <c r="AB236" s="17" t="e">
        <f>AVERAGE(K236,N236,Q236,T236,W236,Z236)</f>
        <v>#DIV/0!</v>
      </c>
    </row>
    <row r="237" spans="2:28" x14ac:dyDescent="0.2">
      <c r="B237" s="10" t="s">
        <v>64</v>
      </c>
      <c r="C237" s="11">
        <v>3</v>
      </c>
      <c r="D237" s="11">
        <v>12</v>
      </c>
      <c r="E237" s="11"/>
      <c r="F237" s="10" t="s">
        <v>140</v>
      </c>
      <c r="G237" s="10"/>
      <c r="H237" s="11">
        <v>1</v>
      </c>
      <c r="I237" s="12"/>
      <c r="J237" s="298"/>
      <c r="K237" s="12"/>
      <c r="L237" s="106"/>
      <c r="M237" s="107"/>
      <c r="N237" s="106"/>
      <c r="O237" s="12"/>
      <c r="P237" s="13"/>
      <c r="Q237" s="12"/>
      <c r="R237" s="106"/>
      <c r="S237" s="107"/>
      <c r="T237" s="106"/>
      <c r="U237" s="35"/>
      <c r="V237" s="35"/>
      <c r="W237" s="35"/>
      <c r="X237" s="20"/>
      <c r="Y237" s="11"/>
      <c r="Z237" s="11"/>
      <c r="AA237" s="38">
        <f>SUM(I237*J237)+(L237*M237)+(O237*P237)+(R237*S237)+(U237*V237)+(X237*Y237)</f>
        <v>0</v>
      </c>
      <c r="AB237" s="17" t="e">
        <f>AVERAGE(K237,N237,Q237,T237,W237,Z237)</f>
        <v>#DIV/0!</v>
      </c>
    </row>
    <row r="238" spans="2:28" hidden="1" x14ac:dyDescent="0.2">
      <c r="B238" s="10" t="s">
        <v>137</v>
      </c>
      <c r="C238" s="89">
        <v>3</v>
      </c>
      <c r="D238" s="11">
        <v>8</v>
      </c>
      <c r="E238" s="11"/>
      <c r="F238" s="92" t="s">
        <v>157</v>
      </c>
      <c r="G238" s="11"/>
      <c r="H238" s="11">
        <v>8</v>
      </c>
      <c r="I238" s="12"/>
      <c r="J238" s="13"/>
      <c r="K238" s="12"/>
      <c r="L238" s="106"/>
      <c r="M238" s="107"/>
      <c r="N238" s="106"/>
      <c r="O238" s="12"/>
      <c r="P238" s="13"/>
      <c r="Q238" s="12"/>
      <c r="R238" s="106"/>
      <c r="S238" s="107"/>
      <c r="T238" s="106"/>
      <c r="U238" s="35"/>
      <c r="V238" s="35"/>
      <c r="W238" s="35"/>
      <c r="X238" s="20"/>
      <c r="Y238" s="11"/>
      <c r="Z238" s="11"/>
      <c r="AA238" s="38">
        <f>SUM(I238*J238)+(L238*M238)+(O238*P238)+(R238*S238)+(U238*V238)+(X238*Y238)</f>
        <v>0</v>
      </c>
      <c r="AB238" s="17" t="e">
        <f>AVERAGE(K238,N238,Q238,T238,W238,Z238)</f>
        <v>#DIV/0!</v>
      </c>
    </row>
    <row r="239" spans="2:28" hidden="1" x14ac:dyDescent="0.2">
      <c r="B239" s="10" t="s">
        <v>139</v>
      </c>
      <c r="C239" s="140">
        <v>2</v>
      </c>
      <c r="D239" s="11">
        <v>8</v>
      </c>
      <c r="E239" s="11"/>
      <c r="F239" s="92" t="s">
        <v>157</v>
      </c>
      <c r="G239" s="11"/>
      <c r="H239" s="11">
        <v>9</v>
      </c>
      <c r="I239" s="12"/>
      <c r="J239" s="13"/>
      <c r="K239" s="12"/>
      <c r="L239" s="106"/>
      <c r="M239" s="107"/>
      <c r="N239" s="106"/>
      <c r="O239" s="12"/>
      <c r="P239" s="13"/>
      <c r="Q239" s="12"/>
      <c r="R239" s="106"/>
      <c r="S239" s="107"/>
      <c r="T239" s="106"/>
      <c r="U239" s="35"/>
      <c r="V239" s="35"/>
      <c r="W239" s="35"/>
      <c r="X239" s="20"/>
      <c r="Y239" s="11"/>
      <c r="Z239" s="11"/>
      <c r="AA239" s="39">
        <f t="shared" si="39"/>
        <v>0</v>
      </c>
      <c r="AB239" s="17" t="e">
        <f t="shared" si="38"/>
        <v>#DIV/0!</v>
      </c>
    </row>
    <row r="240" spans="2:28" x14ac:dyDescent="0.2">
      <c r="B240" s="206" t="str">
        <f>'Exercise Selection'!C6</f>
        <v>(C2) Side Plank</v>
      </c>
      <c r="C240" s="207"/>
      <c r="D240" s="207"/>
      <c r="E240" s="207"/>
      <c r="F240" s="207"/>
      <c r="G240" s="207"/>
      <c r="H240" s="207"/>
      <c r="I240" s="202" t="s">
        <v>119</v>
      </c>
      <c r="J240" s="203"/>
      <c r="K240" s="203"/>
      <c r="L240" s="202" t="s">
        <v>120</v>
      </c>
      <c r="M240" s="203"/>
      <c r="N240" s="203"/>
      <c r="O240" s="202" t="s">
        <v>121</v>
      </c>
      <c r="P240" s="203"/>
      <c r="Q240" s="203"/>
      <c r="R240" s="202" t="s">
        <v>122</v>
      </c>
      <c r="S240" s="203"/>
      <c r="T240" s="203"/>
      <c r="U240" s="202" t="s">
        <v>123</v>
      </c>
      <c r="V240" s="203"/>
      <c r="W240" s="203"/>
      <c r="X240" s="202" t="s">
        <v>124</v>
      </c>
      <c r="Y240" s="203"/>
      <c r="Z240" s="203"/>
      <c r="AA240" s="202" t="s">
        <v>126</v>
      </c>
      <c r="AB240" s="212" t="s">
        <v>127</v>
      </c>
    </row>
    <row r="241" spans="2:28" x14ac:dyDescent="0.2">
      <c r="B241" s="230" t="s">
        <v>160</v>
      </c>
      <c r="C241" s="231"/>
      <c r="D241" s="231"/>
      <c r="E241" s="231"/>
      <c r="F241" s="231"/>
      <c r="G241" s="231"/>
      <c r="H241" s="231"/>
      <c r="I241" s="148"/>
      <c r="J241" s="148"/>
      <c r="K241" s="148"/>
      <c r="L241" s="148"/>
      <c r="M241" s="148"/>
      <c r="N241" s="148"/>
      <c r="O241" s="148"/>
      <c r="P241" s="148"/>
      <c r="Q241" s="148"/>
      <c r="R241" s="148"/>
      <c r="S241" s="148"/>
      <c r="T241" s="148"/>
      <c r="U241" s="148"/>
      <c r="V241" s="148"/>
      <c r="W241" s="148"/>
      <c r="X241" s="148"/>
      <c r="Y241" s="148"/>
      <c r="Z241" s="148"/>
      <c r="AA241" s="203"/>
      <c r="AB241" s="213"/>
    </row>
    <row r="242" spans="2:28" s="111" customFormat="1" x14ac:dyDescent="0.2">
      <c r="B242" s="89" t="s">
        <v>128</v>
      </c>
      <c r="C242" s="90" t="s">
        <v>129</v>
      </c>
      <c r="D242" s="90" t="s">
        <v>161</v>
      </c>
      <c r="E242" s="90" t="s">
        <v>130</v>
      </c>
      <c r="F242" s="90" t="s">
        <v>131</v>
      </c>
      <c r="G242" s="91" t="s">
        <v>132</v>
      </c>
      <c r="H242" s="81" t="s">
        <v>133</v>
      </c>
      <c r="I242" s="83" t="s">
        <v>134</v>
      </c>
      <c r="J242" s="83" t="s">
        <v>135</v>
      </c>
      <c r="K242" s="83" t="s">
        <v>133</v>
      </c>
      <c r="L242" s="83" t="s">
        <v>134</v>
      </c>
      <c r="M242" s="83" t="s">
        <v>135</v>
      </c>
      <c r="N242" s="83" t="s">
        <v>133</v>
      </c>
      <c r="O242" s="83" t="s">
        <v>134</v>
      </c>
      <c r="P242" s="83" t="s">
        <v>135</v>
      </c>
      <c r="Q242" s="83" t="s">
        <v>133</v>
      </c>
      <c r="R242" s="83" t="s">
        <v>134</v>
      </c>
      <c r="S242" s="83" t="s">
        <v>135</v>
      </c>
      <c r="T242" s="83" t="s">
        <v>133</v>
      </c>
      <c r="U242" s="83" t="s">
        <v>134</v>
      </c>
      <c r="V242" s="83" t="s">
        <v>135</v>
      </c>
      <c r="W242" s="83" t="s">
        <v>133</v>
      </c>
      <c r="X242" s="83" t="s">
        <v>134</v>
      </c>
      <c r="Y242" s="83" t="s">
        <v>135</v>
      </c>
      <c r="Z242" s="84" t="s">
        <v>133</v>
      </c>
      <c r="AA242" s="203"/>
      <c r="AB242" s="213"/>
    </row>
    <row r="243" spans="2:28" x14ac:dyDescent="0.2">
      <c r="B243" s="10" t="s">
        <v>59</v>
      </c>
      <c r="C243" s="10">
        <v>2</v>
      </c>
      <c r="D243" s="10" t="s">
        <v>162</v>
      </c>
      <c r="E243" s="10"/>
      <c r="F243" s="10" t="s">
        <v>140</v>
      </c>
      <c r="G243" s="10"/>
      <c r="H243" s="10">
        <v>2</v>
      </c>
      <c r="I243" s="12"/>
      <c r="J243" s="13" t="s">
        <v>163</v>
      </c>
      <c r="K243" s="12"/>
      <c r="L243" s="106"/>
      <c r="M243" s="107" t="s">
        <v>163</v>
      </c>
      <c r="N243" s="106"/>
      <c r="O243" s="12"/>
      <c r="P243" s="13"/>
      <c r="Q243" s="12"/>
      <c r="R243" s="106"/>
      <c r="S243" s="107"/>
      <c r="T243" s="106"/>
      <c r="U243" s="33"/>
      <c r="V243" s="34"/>
      <c r="W243" s="33"/>
      <c r="X243" s="14"/>
      <c r="Y243" s="10"/>
      <c r="Z243" s="10"/>
      <c r="AA243" s="37" t="e">
        <f>SUM(I243*J243)+(L243*M243)+(O243*P243)+(R243*S243)+(U243*V243)+(X243*Y243)</f>
        <v>#VALUE!</v>
      </c>
      <c r="AB243" s="17" t="e">
        <f t="shared" ref="AB243:AB250" si="40">AVERAGE(K243,N243,Q243,T243,W243,Z243)</f>
        <v>#DIV/0!</v>
      </c>
    </row>
    <row r="244" spans="2:28" x14ac:dyDescent="0.2">
      <c r="B244" s="10" t="s">
        <v>60</v>
      </c>
      <c r="C244" s="10">
        <v>3</v>
      </c>
      <c r="D244" s="10" t="s">
        <v>162</v>
      </c>
      <c r="E244" s="10"/>
      <c r="F244" s="10" t="s">
        <v>140</v>
      </c>
      <c r="G244" s="10"/>
      <c r="H244" s="10">
        <v>1</v>
      </c>
      <c r="I244" s="12"/>
      <c r="J244" s="13" t="s">
        <v>163</v>
      </c>
      <c r="K244" s="12"/>
      <c r="L244" s="106"/>
      <c r="M244" s="107" t="s">
        <v>163</v>
      </c>
      <c r="N244" s="106"/>
      <c r="O244" s="12"/>
      <c r="P244" s="13" t="s">
        <v>163</v>
      </c>
      <c r="Q244" s="12"/>
      <c r="R244" s="106"/>
      <c r="S244" s="107"/>
      <c r="T244" s="106"/>
      <c r="U244" s="33"/>
      <c r="V244" s="33"/>
      <c r="W244" s="33"/>
      <c r="X244" s="14"/>
      <c r="Y244" s="10"/>
      <c r="Z244" s="10"/>
      <c r="AA244" s="38" t="e">
        <f t="shared" ref="AA244:AA250" si="41">SUM(I244*J244)+(L244*M244)+(O244*P244)+(R244*S244)+(U244*V244)+(X244*Y244)</f>
        <v>#VALUE!</v>
      </c>
      <c r="AB244" s="17" t="e">
        <f t="shared" si="40"/>
        <v>#DIV/0!</v>
      </c>
    </row>
    <row r="245" spans="2:28" x14ac:dyDescent="0.2">
      <c r="B245" s="10" t="s">
        <v>61</v>
      </c>
      <c r="C245" s="10">
        <v>3</v>
      </c>
      <c r="D245" s="10" t="s">
        <v>164</v>
      </c>
      <c r="E245" s="10"/>
      <c r="F245" s="10" t="s">
        <v>140</v>
      </c>
      <c r="G245" s="10"/>
      <c r="H245" s="10">
        <v>2</v>
      </c>
      <c r="I245" s="12"/>
      <c r="J245" s="13" t="s">
        <v>165</v>
      </c>
      <c r="K245" s="12"/>
      <c r="L245" s="106"/>
      <c r="M245" s="107" t="s">
        <v>165</v>
      </c>
      <c r="N245" s="106"/>
      <c r="O245" s="12"/>
      <c r="P245" s="13" t="s">
        <v>165</v>
      </c>
      <c r="Q245" s="12"/>
      <c r="R245" s="106"/>
      <c r="S245" s="107" t="s">
        <v>165</v>
      </c>
      <c r="T245" s="106"/>
      <c r="U245" s="33"/>
      <c r="V245" s="33"/>
      <c r="W245" s="33"/>
      <c r="X245" s="14"/>
      <c r="Y245" s="10"/>
      <c r="Z245" s="10"/>
      <c r="AA245" s="38" t="e">
        <f t="shared" si="41"/>
        <v>#VALUE!</v>
      </c>
      <c r="AB245" s="17" t="e">
        <f t="shared" si="40"/>
        <v>#DIV/0!</v>
      </c>
    </row>
    <row r="246" spans="2:28" x14ac:dyDescent="0.2">
      <c r="B246" s="10" t="s">
        <v>62</v>
      </c>
      <c r="C246" s="11">
        <v>2</v>
      </c>
      <c r="D246" s="10" t="s">
        <v>164</v>
      </c>
      <c r="E246" s="11"/>
      <c r="F246" s="10" t="s">
        <v>140</v>
      </c>
      <c r="G246" s="10"/>
      <c r="H246" s="11">
        <v>1</v>
      </c>
      <c r="I246" s="12"/>
      <c r="J246" s="13" t="s">
        <v>165</v>
      </c>
      <c r="K246" s="12"/>
      <c r="L246" s="106"/>
      <c r="M246" s="107" t="s">
        <v>165</v>
      </c>
      <c r="N246" s="106"/>
      <c r="O246" s="12"/>
      <c r="P246" s="13"/>
      <c r="Q246" s="12"/>
      <c r="R246" s="106"/>
      <c r="S246" s="107"/>
      <c r="T246" s="106"/>
      <c r="U246" s="35"/>
      <c r="V246" s="35"/>
      <c r="W246" s="35"/>
      <c r="X246" s="20"/>
      <c r="Y246" s="11"/>
      <c r="Z246" s="11"/>
      <c r="AA246" s="38" t="e">
        <f>SUM(I246*J246)+(L246*M246)+(O246*P246)+(R246*S246)+(U246*V246)+(X246*Y246)</f>
        <v>#VALUE!</v>
      </c>
      <c r="AB246" s="17" t="e">
        <f>AVERAGE(K246,N246,Q246,T246,W246,Z246)</f>
        <v>#DIV/0!</v>
      </c>
    </row>
    <row r="247" spans="2:28" x14ac:dyDescent="0.2">
      <c r="B247" s="10" t="s">
        <v>63</v>
      </c>
      <c r="C247" s="10">
        <v>3</v>
      </c>
      <c r="D247" s="10" t="s">
        <v>166</v>
      </c>
      <c r="E247" s="10"/>
      <c r="F247" s="10" t="s">
        <v>140</v>
      </c>
      <c r="G247" s="10"/>
      <c r="H247" s="10">
        <v>2</v>
      </c>
      <c r="I247" s="12"/>
      <c r="J247" s="13" t="s">
        <v>276</v>
      </c>
      <c r="K247" s="12"/>
      <c r="L247" s="106"/>
      <c r="M247" s="107" t="s">
        <v>276</v>
      </c>
      <c r="N247" s="106"/>
      <c r="O247" s="12"/>
      <c r="P247" s="13" t="s">
        <v>276</v>
      </c>
      <c r="Q247" s="12"/>
      <c r="R247" s="106"/>
      <c r="S247" s="107"/>
      <c r="T247" s="106"/>
      <c r="U247" s="35"/>
      <c r="V247" s="35"/>
      <c r="W247" s="35"/>
      <c r="X247" s="20"/>
      <c r="Y247" s="11"/>
      <c r="Z247" s="11"/>
      <c r="AA247" s="38" t="e">
        <f>SUM(I247*J247)+(L247*M247)+(O247*P247)+(R247*S247)+(U247*V247)+(X247*Y247)</f>
        <v>#VALUE!</v>
      </c>
      <c r="AB247" s="17" t="e">
        <f>AVERAGE(K247,N247,Q247,T247,W247,Z247)</f>
        <v>#DIV/0!</v>
      </c>
    </row>
    <row r="248" spans="2:28" x14ac:dyDescent="0.2">
      <c r="B248" s="10" t="s">
        <v>64</v>
      </c>
      <c r="C248" s="11">
        <v>3</v>
      </c>
      <c r="D248" s="10" t="s">
        <v>166</v>
      </c>
      <c r="E248" s="11"/>
      <c r="F248" s="10" t="s">
        <v>140</v>
      </c>
      <c r="G248" s="10"/>
      <c r="H248" s="11">
        <v>1</v>
      </c>
      <c r="I248" s="12"/>
      <c r="J248" s="13"/>
      <c r="K248" s="12"/>
      <c r="L248" s="106"/>
      <c r="M248" s="107"/>
      <c r="N248" s="106"/>
      <c r="O248" s="12"/>
      <c r="P248" s="13"/>
      <c r="Q248" s="12"/>
      <c r="R248" s="106"/>
      <c r="S248" s="107"/>
      <c r="T248" s="106"/>
      <c r="U248" s="35"/>
      <c r="V248" s="35"/>
      <c r="W248" s="35"/>
      <c r="X248" s="20"/>
      <c r="Y248" s="11"/>
      <c r="Z248" s="11"/>
      <c r="AA248" s="38">
        <f>SUM(I248*J248)+(L248*M248)+(O248*P248)+(R248*S248)+(U248*V248)+(X248*Y248)</f>
        <v>0</v>
      </c>
      <c r="AB248" s="17" t="e">
        <f>AVERAGE(K248,N248,Q248,T248,W248,Z248)</f>
        <v>#DIV/0!</v>
      </c>
    </row>
    <row r="249" spans="2:28" hidden="1" x14ac:dyDescent="0.2">
      <c r="B249" s="10" t="s">
        <v>137</v>
      </c>
      <c r="C249" s="89">
        <v>3</v>
      </c>
      <c r="D249" s="11">
        <v>8</v>
      </c>
      <c r="E249" s="11"/>
      <c r="F249" s="92" t="s">
        <v>157</v>
      </c>
      <c r="G249" s="11"/>
      <c r="H249" s="11">
        <v>8</v>
      </c>
      <c r="I249" s="12"/>
      <c r="J249" s="13"/>
      <c r="K249" s="12"/>
      <c r="L249" s="106"/>
      <c r="M249" s="107"/>
      <c r="N249" s="106"/>
      <c r="O249" s="12"/>
      <c r="P249" s="13"/>
      <c r="Q249" s="12"/>
      <c r="R249" s="106"/>
      <c r="S249" s="107"/>
      <c r="T249" s="106"/>
      <c r="U249" s="35"/>
      <c r="V249" s="35"/>
      <c r="W249" s="35"/>
      <c r="X249" s="20"/>
      <c r="Y249" s="11"/>
      <c r="Z249" s="11"/>
      <c r="AA249" s="38">
        <f>SUM(I249*J249)+(L249*M249)+(O249*P249)+(R249*S249)+(U249*V249)+(X249*Y249)</f>
        <v>0</v>
      </c>
      <c r="AB249" s="17" t="e">
        <f>AVERAGE(K249,N249,Q249,T249,W249,Z249)</f>
        <v>#DIV/0!</v>
      </c>
    </row>
    <row r="250" spans="2:28" hidden="1" x14ac:dyDescent="0.2">
      <c r="B250" s="10" t="s">
        <v>139</v>
      </c>
      <c r="C250" s="140">
        <v>2</v>
      </c>
      <c r="D250" s="11">
        <v>8</v>
      </c>
      <c r="E250" s="11"/>
      <c r="F250" s="92" t="s">
        <v>157</v>
      </c>
      <c r="G250" s="11"/>
      <c r="H250" s="11">
        <v>9</v>
      </c>
      <c r="I250" s="12"/>
      <c r="J250" s="13"/>
      <c r="K250" s="12"/>
      <c r="L250" s="106"/>
      <c r="M250" s="107"/>
      <c r="N250" s="106"/>
      <c r="O250" s="12"/>
      <c r="P250" s="13"/>
      <c r="Q250" s="12"/>
      <c r="R250" s="106"/>
      <c r="S250" s="107"/>
      <c r="T250" s="106"/>
      <c r="U250" s="35"/>
      <c r="V250" s="35"/>
      <c r="W250" s="35"/>
      <c r="X250" s="20"/>
      <c r="Y250" s="11"/>
      <c r="Z250" s="11"/>
      <c r="AA250" s="39">
        <f t="shared" si="41"/>
        <v>0</v>
      </c>
      <c r="AB250" s="17" t="e">
        <f t="shared" si="40"/>
        <v>#DIV/0!</v>
      </c>
    </row>
    <row r="251" spans="2:28" x14ac:dyDescent="0.2">
      <c r="B251" s="206" t="str">
        <f>'Exercise Selection'!C7</f>
        <v>(C3) Hip Airplane</v>
      </c>
      <c r="C251" s="207"/>
      <c r="D251" s="207"/>
      <c r="E251" s="207"/>
      <c r="F251" s="207"/>
      <c r="G251" s="207"/>
      <c r="H251" s="207"/>
      <c r="I251" s="202" t="s">
        <v>119</v>
      </c>
      <c r="J251" s="203"/>
      <c r="K251" s="203"/>
      <c r="L251" s="202" t="s">
        <v>120</v>
      </c>
      <c r="M251" s="203"/>
      <c r="N251" s="203"/>
      <c r="O251" s="202" t="s">
        <v>121</v>
      </c>
      <c r="P251" s="203"/>
      <c r="Q251" s="203"/>
      <c r="R251" s="202" t="s">
        <v>122</v>
      </c>
      <c r="S251" s="203"/>
      <c r="T251" s="203"/>
      <c r="U251" s="202" t="s">
        <v>123</v>
      </c>
      <c r="V251" s="203"/>
      <c r="W251" s="203"/>
      <c r="X251" s="202" t="s">
        <v>124</v>
      </c>
      <c r="Y251" s="203"/>
      <c r="Z251" s="203"/>
      <c r="AA251" s="202" t="s">
        <v>126</v>
      </c>
      <c r="AB251" s="212" t="s">
        <v>127</v>
      </c>
    </row>
    <row r="252" spans="2:28" x14ac:dyDescent="0.2">
      <c r="B252" s="202"/>
      <c r="C252" s="203"/>
      <c r="D252" s="203"/>
      <c r="E252" s="203"/>
      <c r="F252" s="203"/>
      <c r="G252" s="203"/>
      <c r="H252" s="203"/>
      <c r="I252" s="148"/>
      <c r="J252" s="148"/>
      <c r="K252" s="148"/>
      <c r="L252" s="148"/>
      <c r="M252" s="148"/>
      <c r="N252" s="148"/>
      <c r="O252" s="148"/>
      <c r="P252" s="148"/>
      <c r="Q252" s="148"/>
      <c r="R252" s="148"/>
      <c r="S252" s="148"/>
      <c r="T252" s="148"/>
      <c r="U252" s="148"/>
      <c r="V252" s="148"/>
      <c r="W252" s="148"/>
      <c r="X252" s="148"/>
      <c r="Y252" s="148"/>
      <c r="Z252" s="148"/>
      <c r="AA252" s="203"/>
      <c r="AB252" s="213"/>
    </row>
    <row r="253" spans="2:28" s="111" customFormat="1" x14ac:dyDescent="0.2">
      <c r="B253" s="89" t="s">
        <v>128</v>
      </c>
      <c r="C253" s="90" t="s">
        <v>129</v>
      </c>
      <c r="D253" s="90" t="s">
        <v>38</v>
      </c>
      <c r="E253" s="90" t="s">
        <v>130</v>
      </c>
      <c r="F253" s="90" t="s">
        <v>131</v>
      </c>
      <c r="G253" s="91" t="s">
        <v>132</v>
      </c>
      <c r="H253" s="81" t="s">
        <v>133</v>
      </c>
      <c r="I253" s="83" t="s">
        <v>134</v>
      </c>
      <c r="J253" s="83" t="s">
        <v>135</v>
      </c>
      <c r="K253" s="83" t="s">
        <v>133</v>
      </c>
      <c r="L253" s="83" t="s">
        <v>134</v>
      </c>
      <c r="M253" s="83" t="s">
        <v>135</v>
      </c>
      <c r="N253" s="83" t="s">
        <v>133</v>
      </c>
      <c r="O253" s="83" t="s">
        <v>134</v>
      </c>
      <c r="P253" s="83" t="s">
        <v>135</v>
      </c>
      <c r="Q253" s="83" t="s">
        <v>133</v>
      </c>
      <c r="R253" s="83" t="s">
        <v>134</v>
      </c>
      <c r="S253" s="83" t="s">
        <v>135</v>
      </c>
      <c r="T253" s="83" t="s">
        <v>133</v>
      </c>
      <c r="U253" s="83" t="s">
        <v>134</v>
      </c>
      <c r="V253" s="83" t="s">
        <v>135</v>
      </c>
      <c r="W253" s="83" t="s">
        <v>133</v>
      </c>
      <c r="X253" s="83" t="s">
        <v>134</v>
      </c>
      <c r="Y253" s="83" t="s">
        <v>135</v>
      </c>
      <c r="Z253" s="84" t="s">
        <v>133</v>
      </c>
      <c r="AA253" s="203"/>
      <c r="AB253" s="213"/>
    </row>
    <row r="254" spans="2:28" x14ac:dyDescent="0.2">
      <c r="B254" s="10" t="s">
        <v>59</v>
      </c>
      <c r="C254" s="10">
        <v>2</v>
      </c>
      <c r="D254" s="10">
        <v>8</v>
      </c>
      <c r="E254" s="10"/>
      <c r="F254" s="10" t="s">
        <v>140</v>
      </c>
      <c r="G254" s="10"/>
      <c r="H254" s="10">
        <v>2</v>
      </c>
      <c r="I254" s="12"/>
      <c r="J254" s="13">
        <v>8</v>
      </c>
      <c r="K254" s="12"/>
      <c r="L254" s="106"/>
      <c r="M254" s="107">
        <v>8</v>
      </c>
      <c r="N254" s="106"/>
      <c r="O254" s="12"/>
      <c r="P254" s="13"/>
      <c r="Q254" s="12"/>
      <c r="R254" s="106"/>
      <c r="S254" s="107"/>
      <c r="T254" s="106"/>
      <c r="U254" s="33"/>
      <c r="V254" s="34"/>
      <c r="W254" s="33"/>
      <c r="X254" s="14"/>
      <c r="Y254" s="10"/>
      <c r="Z254" s="10"/>
      <c r="AA254" s="37">
        <f>SUM(I254*J254)+(L254*M254)+(O254*P254)+(R254*S254)+(U254*V254)+(X254*Y254)</f>
        <v>0</v>
      </c>
      <c r="AB254" s="17" t="e">
        <f t="shared" ref="AB254:AB261" si="42">AVERAGE(K254,N254,Q254,T254,W254,Z254)</f>
        <v>#DIV/0!</v>
      </c>
    </row>
    <row r="255" spans="2:28" x14ac:dyDescent="0.2">
      <c r="B255" s="10" t="s">
        <v>60</v>
      </c>
      <c r="C255" s="10">
        <v>3</v>
      </c>
      <c r="D255" s="10">
        <v>8</v>
      </c>
      <c r="E255" s="10"/>
      <c r="F255" s="10" t="s">
        <v>140</v>
      </c>
      <c r="G255" s="10"/>
      <c r="H255" s="10">
        <v>1</v>
      </c>
      <c r="I255" s="12"/>
      <c r="J255" s="13">
        <v>8</v>
      </c>
      <c r="K255" s="12"/>
      <c r="L255" s="106"/>
      <c r="M255" s="107">
        <v>8</v>
      </c>
      <c r="N255" s="106"/>
      <c r="O255" s="12"/>
      <c r="P255" s="13">
        <v>8</v>
      </c>
      <c r="Q255" s="12"/>
      <c r="R255" s="106"/>
      <c r="S255" s="107"/>
      <c r="T255" s="106"/>
      <c r="U255" s="33"/>
      <c r="V255" s="33"/>
      <c r="W255" s="33"/>
      <c r="X255" s="14"/>
      <c r="Y255" s="10"/>
      <c r="Z255" s="10"/>
      <c r="AA255" s="38">
        <f t="shared" ref="AA255:AA261" si="43">SUM(I255*J255)+(L255*M255)+(O255*P255)+(R255*S255)+(U255*V255)+(X255*Y255)</f>
        <v>0</v>
      </c>
      <c r="AB255" s="17" t="e">
        <f t="shared" si="42"/>
        <v>#DIV/0!</v>
      </c>
    </row>
    <row r="256" spans="2:28" x14ac:dyDescent="0.2">
      <c r="B256" s="10" t="s">
        <v>61</v>
      </c>
      <c r="C256" s="10">
        <v>3</v>
      </c>
      <c r="D256" s="10">
        <v>10</v>
      </c>
      <c r="E256" s="10"/>
      <c r="F256" s="10" t="s">
        <v>140</v>
      </c>
      <c r="G256" s="10"/>
      <c r="H256" s="10">
        <v>2</v>
      </c>
      <c r="I256" s="12"/>
      <c r="J256" s="13">
        <v>10</v>
      </c>
      <c r="K256" s="12"/>
      <c r="L256" s="106"/>
      <c r="M256" s="107">
        <v>10</v>
      </c>
      <c r="N256" s="106"/>
      <c r="O256" s="12"/>
      <c r="P256" s="13">
        <v>10</v>
      </c>
      <c r="Q256" s="12"/>
      <c r="R256" s="106"/>
      <c r="S256" s="107">
        <v>10</v>
      </c>
      <c r="T256" s="106"/>
      <c r="U256" s="33"/>
      <c r="V256" s="33"/>
      <c r="W256" s="33"/>
      <c r="X256" s="14"/>
      <c r="Y256" s="10"/>
      <c r="Z256" s="10"/>
      <c r="AA256" s="38">
        <f t="shared" si="43"/>
        <v>0</v>
      </c>
      <c r="AB256" s="17" t="e">
        <f t="shared" si="42"/>
        <v>#DIV/0!</v>
      </c>
    </row>
    <row r="257" spans="2:28" x14ac:dyDescent="0.2">
      <c r="B257" s="10" t="s">
        <v>62</v>
      </c>
      <c r="C257" s="11">
        <v>2</v>
      </c>
      <c r="D257" s="11">
        <v>10</v>
      </c>
      <c r="E257" s="11"/>
      <c r="F257" s="10" t="s">
        <v>140</v>
      </c>
      <c r="G257" s="10"/>
      <c r="H257" s="11">
        <v>1</v>
      </c>
      <c r="I257" s="12"/>
      <c r="J257" s="13">
        <v>10</v>
      </c>
      <c r="K257" s="12"/>
      <c r="L257" s="106"/>
      <c r="M257" s="107">
        <v>10</v>
      </c>
      <c r="N257" s="106"/>
      <c r="O257" s="12"/>
      <c r="P257" s="13"/>
      <c r="Q257" s="12"/>
      <c r="R257" s="106"/>
      <c r="S257" s="107"/>
      <c r="T257" s="106"/>
      <c r="U257" s="35"/>
      <c r="V257" s="35"/>
      <c r="W257" s="35"/>
      <c r="X257" s="20"/>
      <c r="Y257" s="11"/>
      <c r="Z257" s="11"/>
      <c r="AA257" s="38">
        <f>SUM(I257*J257)+(L257*M257)+(O257*P257)+(R257*S257)+(U257*V257)+(X257*Y257)</f>
        <v>0</v>
      </c>
      <c r="AB257" s="17" t="e">
        <f>AVERAGE(K257,N257,Q257,T257,W257,Z257)</f>
        <v>#DIV/0!</v>
      </c>
    </row>
    <row r="258" spans="2:28" x14ac:dyDescent="0.2">
      <c r="B258" s="10" t="s">
        <v>63</v>
      </c>
      <c r="C258" s="10">
        <v>3</v>
      </c>
      <c r="D258" s="10">
        <v>12</v>
      </c>
      <c r="E258" s="10"/>
      <c r="F258" s="10" t="s">
        <v>140</v>
      </c>
      <c r="G258" s="10"/>
      <c r="H258" s="10">
        <v>2</v>
      </c>
      <c r="I258" s="12"/>
      <c r="J258" s="13">
        <v>12</v>
      </c>
      <c r="K258" s="12"/>
      <c r="L258" s="106"/>
      <c r="M258" s="107">
        <v>12</v>
      </c>
      <c r="N258" s="106"/>
      <c r="O258" s="12"/>
      <c r="P258" s="13">
        <v>12</v>
      </c>
      <c r="Q258" s="12"/>
      <c r="R258" s="106"/>
      <c r="S258" s="107"/>
      <c r="T258" s="106"/>
      <c r="U258" s="35"/>
      <c r="V258" s="35"/>
      <c r="W258" s="35"/>
      <c r="X258" s="20"/>
      <c r="Y258" s="11"/>
      <c r="Z258" s="11"/>
      <c r="AA258" s="38">
        <f>SUM(I258*J258)+(L258*M258)+(O258*P258)+(R258*S258)+(U258*V258)+(X258*Y258)</f>
        <v>0</v>
      </c>
      <c r="AB258" s="17" t="e">
        <f>AVERAGE(K258,N258,Q258,T258,W258,Z258)</f>
        <v>#DIV/0!</v>
      </c>
    </row>
    <row r="259" spans="2:28" x14ac:dyDescent="0.2">
      <c r="B259" s="10" t="s">
        <v>64</v>
      </c>
      <c r="C259" s="11">
        <v>3</v>
      </c>
      <c r="D259" s="11">
        <v>12</v>
      </c>
      <c r="E259" s="11"/>
      <c r="F259" s="10" t="s">
        <v>140</v>
      </c>
      <c r="G259" s="10"/>
      <c r="H259" s="11">
        <v>1</v>
      </c>
      <c r="I259" s="12"/>
      <c r="J259" s="13"/>
      <c r="K259" s="12"/>
      <c r="L259" s="106"/>
      <c r="M259" s="107"/>
      <c r="N259" s="106"/>
      <c r="O259" s="12"/>
      <c r="P259" s="13"/>
      <c r="Q259" s="12"/>
      <c r="R259" s="106"/>
      <c r="S259" s="107"/>
      <c r="T259" s="106"/>
      <c r="U259" s="35"/>
      <c r="V259" s="35"/>
      <c r="W259" s="35"/>
      <c r="X259" s="20"/>
      <c r="Y259" s="11"/>
      <c r="Z259" s="11"/>
      <c r="AA259" s="38">
        <f>SUM(I259*J259)+(L259*M259)+(O259*P259)+(R259*S259)+(U259*V259)+(X259*Y259)</f>
        <v>0</v>
      </c>
      <c r="AB259" s="17" t="e">
        <f>AVERAGE(K259,N259,Q259,T259,W259,Z259)</f>
        <v>#DIV/0!</v>
      </c>
    </row>
    <row r="260" spans="2:28" hidden="1" x14ac:dyDescent="0.2">
      <c r="B260" s="10" t="s">
        <v>137</v>
      </c>
      <c r="C260" s="89">
        <v>3</v>
      </c>
      <c r="D260" s="11">
        <v>8</v>
      </c>
      <c r="E260" s="11"/>
      <c r="F260" s="92" t="s">
        <v>157</v>
      </c>
      <c r="G260" s="11"/>
      <c r="H260" s="11">
        <v>8</v>
      </c>
      <c r="I260" s="12"/>
      <c r="J260" s="13"/>
      <c r="K260" s="12"/>
      <c r="L260" s="106"/>
      <c r="M260" s="107"/>
      <c r="N260" s="106"/>
      <c r="O260" s="12"/>
      <c r="P260" s="13"/>
      <c r="Q260" s="12"/>
      <c r="R260" s="106"/>
      <c r="S260" s="107"/>
      <c r="T260" s="106"/>
      <c r="U260" s="35"/>
      <c r="V260" s="35"/>
      <c r="W260" s="35"/>
      <c r="X260" s="20"/>
      <c r="Y260" s="11"/>
      <c r="Z260" s="11"/>
      <c r="AA260" s="38">
        <f>SUM(I260*J260)+(L260*M260)+(O260*P260)+(R260*S260)+(U260*V260)+(X260*Y260)</f>
        <v>0</v>
      </c>
      <c r="AB260" s="17" t="e">
        <f>AVERAGE(K260,N260,Q260,T260,W260,Z260)</f>
        <v>#DIV/0!</v>
      </c>
    </row>
    <row r="261" spans="2:28" hidden="1" x14ac:dyDescent="0.2">
      <c r="B261" s="10" t="s">
        <v>139</v>
      </c>
      <c r="C261" s="140">
        <v>2</v>
      </c>
      <c r="D261" s="11">
        <v>8</v>
      </c>
      <c r="E261" s="11"/>
      <c r="F261" s="92" t="s">
        <v>157</v>
      </c>
      <c r="G261" s="11"/>
      <c r="H261" s="11">
        <v>9</v>
      </c>
      <c r="I261" s="12"/>
      <c r="J261" s="13"/>
      <c r="K261" s="12"/>
      <c r="L261" s="106"/>
      <c r="M261" s="107"/>
      <c r="N261" s="106"/>
      <c r="O261" s="12"/>
      <c r="P261" s="13"/>
      <c r="Q261" s="12"/>
      <c r="R261" s="106"/>
      <c r="S261" s="107"/>
      <c r="T261" s="106"/>
      <c r="U261" s="35"/>
      <c r="V261" s="35"/>
      <c r="W261" s="35"/>
      <c r="X261" s="20"/>
      <c r="Y261" s="11"/>
      <c r="Z261" s="11"/>
      <c r="AA261" s="39">
        <f t="shared" si="43"/>
        <v>0</v>
      </c>
      <c r="AB261" s="17" t="e">
        <f t="shared" si="42"/>
        <v>#DIV/0!</v>
      </c>
    </row>
    <row r="262" spans="2:28" hidden="1" x14ac:dyDescent="0.2">
      <c r="B262" s="206">
        <f>'Exercise Selection'!C8</f>
        <v>0</v>
      </c>
      <c r="C262" s="207"/>
      <c r="D262" s="207"/>
      <c r="E262" s="207"/>
      <c r="F262" s="207"/>
      <c r="G262" s="207"/>
      <c r="H262" s="207"/>
      <c r="I262" s="202" t="s">
        <v>119</v>
      </c>
      <c r="J262" s="203"/>
      <c r="K262" s="203"/>
      <c r="L262" s="202" t="s">
        <v>120</v>
      </c>
      <c r="M262" s="203"/>
      <c r="N262" s="203"/>
      <c r="O262" s="202" t="s">
        <v>121</v>
      </c>
      <c r="P262" s="203"/>
      <c r="Q262" s="203"/>
      <c r="R262" s="202" t="s">
        <v>122</v>
      </c>
      <c r="S262" s="203"/>
      <c r="T262" s="203"/>
      <c r="U262" s="202" t="s">
        <v>123</v>
      </c>
      <c r="V262" s="203"/>
      <c r="W262" s="203"/>
      <c r="X262" s="202" t="s">
        <v>124</v>
      </c>
      <c r="Y262" s="203"/>
      <c r="Z262" s="203"/>
      <c r="AA262" s="202" t="s">
        <v>126</v>
      </c>
      <c r="AB262" s="212" t="s">
        <v>127</v>
      </c>
    </row>
    <row r="263" spans="2:28" hidden="1" x14ac:dyDescent="0.2">
      <c r="B263" s="202"/>
      <c r="C263" s="203"/>
      <c r="D263" s="203"/>
      <c r="E263" s="203"/>
      <c r="F263" s="203"/>
      <c r="G263" s="203"/>
      <c r="H263" s="203"/>
      <c r="I263" s="148"/>
      <c r="J263" s="148"/>
      <c r="K263" s="148"/>
      <c r="L263" s="148"/>
      <c r="M263" s="148"/>
      <c r="N263" s="148"/>
      <c r="O263" s="148"/>
      <c r="P263" s="148"/>
      <c r="Q263" s="148"/>
      <c r="R263" s="148"/>
      <c r="S263" s="148"/>
      <c r="T263" s="148"/>
      <c r="U263" s="148"/>
      <c r="V263" s="148"/>
      <c r="W263" s="148"/>
      <c r="X263" s="148"/>
      <c r="Y263" s="148"/>
      <c r="Z263" s="148"/>
      <c r="AA263" s="203"/>
      <c r="AB263" s="213"/>
    </row>
    <row r="264" spans="2:28" s="111" customFormat="1" hidden="1" x14ac:dyDescent="0.2">
      <c r="B264" s="89" t="s">
        <v>128</v>
      </c>
      <c r="C264" s="90" t="s">
        <v>129</v>
      </c>
      <c r="D264" s="90" t="s">
        <v>38</v>
      </c>
      <c r="E264" s="90" t="s">
        <v>130</v>
      </c>
      <c r="F264" s="90" t="s">
        <v>131</v>
      </c>
      <c r="G264" s="91" t="s">
        <v>132</v>
      </c>
      <c r="H264" s="81" t="s">
        <v>133</v>
      </c>
      <c r="I264" s="83" t="s">
        <v>134</v>
      </c>
      <c r="J264" s="83" t="s">
        <v>135</v>
      </c>
      <c r="K264" s="83" t="s">
        <v>133</v>
      </c>
      <c r="L264" s="83" t="s">
        <v>134</v>
      </c>
      <c r="M264" s="83" t="s">
        <v>135</v>
      </c>
      <c r="N264" s="83" t="s">
        <v>133</v>
      </c>
      <c r="O264" s="83" t="s">
        <v>134</v>
      </c>
      <c r="P264" s="83" t="s">
        <v>135</v>
      </c>
      <c r="Q264" s="83" t="s">
        <v>133</v>
      </c>
      <c r="R264" s="83" t="s">
        <v>134</v>
      </c>
      <c r="S264" s="83" t="s">
        <v>135</v>
      </c>
      <c r="T264" s="83" t="s">
        <v>133</v>
      </c>
      <c r="U264" s="83" t="s">
        <v>134</v>
      </c>
      <c r="V264" s="83" t="s">
        <v>135</v>
      </c>
      <c r="W264" s="83" t="s">
        <v>133</v>
      </c>
      <c r="X264" s="83" t="s">
        <v>134</v>
      </c>
      <c r="Y264" s="83" t="s">
        <v>135</v>
      </c>
      <c r="Z264" s="84" t="s">
        <v>133</v>
      </c>
      <c r="AA264" s="203"/>
      <c r="AB264" s="213"/>
    </row>
    <row r="265" spans="2:28" hidden="1" x14ac:dyDescent="0.2">
      <c r="B265" s="10" t="s">
        <v>59</v>
      </c>
      <c r="C265" s="86"/>
      <c r="D265" s="93"/>
      <c r="E265" s="86"/>
      <c r="F265" s="86"/>
      <c r="G265" s="86"/>
      <c r="H265" s="86"/>
      <c r="I265" s="12"/>
      <c r="J265" s="13"/>
      <c r="K265" s="12"/>
      <c r="L265" s="106"/>
      <c r="M265" s="107"/>
      <c r="N265" s="106"/>
      <c r="O265" s="12"/>
      <c r="P265" s="13"/>
      <c r="Q265" s="12"/>
      <c r="R265" s="106"/>
      <c r="S265" s="107"/>
      <c r="T265" s="106"/>
      <c r="U265" s="33"/>
      <c r="V265" s="34"/>
      <c r="W265" s="33"/>
      <c r="X265" s="14"/>
      <c r="Y265" s="10"/>
      <c r="Z265" s="10"/>
      <c r="AA265" s="37">
        <f>SUM(I265*J265)+(L265*M265)+(O265*P265)+(R265*S265)+(U265*V265)+(X265*Y265)</f>
        <v>0</v>
      </c>
      <c r="AB265" s="17" t="e">
        <f t="shared" ref="AB265:AB272" si="44">AVERAGE(K265,N265,Q265,T265,W265,Z265)</f>
        <v>#DIV/0!</v>
      </c>
    </row>
    <row r="266" spans="2:28" hidden="1" x14ac:dyDescent="0.2">
      <c r="B266" s="10" t="s">
        <v>60</v>
      </c>
      <c r="C266" s="86"/>
      <c r="D266" s="93"/>
      <c r="E266" s="86"/>
      <c r="F266" s="86"/>
      <c r="G266" s="86"/>
      <c r="H266" s="86"/>
      <c r="I266" s="12"/>
      <c r="J266" s="13"/>
      <c r="K266" s="12"/>
      <c r="L266" s="106"/>
      <c r="M266" s="107"/>
      <c r="N266" s="106"/>
      <c r="O266" s="12"/>
      <c r="P266" s="13"/>
      <c r="Q266" s="12"/>
      <c r="R266" s="106"/>
      <c r="S266" s="107"/>
      <c r="T266" s="106"/>
      <c r="U266" s="33"/>
      <c r="V266" s="33"/>
      <c r="W266" s="33"/>
      <c r="X266" s="14"/>
      <c r="Y266" s="10"/>
      <c r="Z266" s="10"/>
      <c r="AA266" s="38">
        <f t="shared" ref="AA266:AA272" si="45">SUM(I266*J266)+(L266*M266)+(O266*P266)+(R266*S266)+(U266*V266)+(X266*Y266)</f>
        <v>0</v>
      </c>
      <c r="AB266" s="17" t="e">
        <f t="shared" si="44"/>
        <v>#DIV/0!</v>
      </c>
    </row>
    <row r="267" spans="2:28" hidden="1" x14ac:dyDescent="0.2">
      <c r="B267" s="10" t="s">
        <v>61</v>
      </c>
      <c r="C267" s="86"/>
      <c r="D267" s="94"/>
      <c r="E267" s="87"/>
      <c r="F267" s="86"/>
      <c r="G267" s="87"/>
      <c r="H267" s="87"/>
      <c r="I267" s="12"/>
      <c r="J267" s="13"/>
      <c r="K267" s="12"/>
      <c r="L267" s="106"/>
      <c r="M267" s="107"/>
      <c r="N267" s="106"/>
      <c r="O267" s="12"/>
      <c r="P267" s="13"/>
      <c r="Q267" s="12"/>
      <c r="R267" s="106"/>
      <c r="S267" s="107"/>
      <c r="T267" s="106"/>
      <c r="U267" s="33"/>
      <c r="V267" s="33"/>
      <c r="W267" s="33"/>
      <c r="X267" s="14"/>
      <c r="Y267" s="10"/>
      <c r="Z267" s="10"/>
      <c r="AA267" s="38">
        <f t="shared" si="45"/>
        <v>0</v>
      </c>
      <c r="AB267" s="17" t="e">
        <f t="shared" si="44"/>
        <v>#DIV/0!</v>
      </c>
    </row>
    <row r="268" spans="2:28" hidden="1" x14ac:dyDescent="0.2">
      <c r="B268" s="10" t="s">
        <v>62</v>
      </c>
      <c r="C268" s="86"/>
      <c r="D268" s="95"/>
      <c r="E268" s="88"/>
      <c r="F268" s="86"/>
      <c r="G268" s="88"/>
      <c r="H268" s="88"/>
      <c r="I268" s="12"/>
      <c r="J268" s="13"/>
      <c r="K268" s="12"/>
      <c r="L268" s="106"/>
      <c r="M268" s="107"/>
      <c r="N268" s="106"/>
      <c r="O268" s="12"/>
      <c r="P268" s="13"/>
      <c r="Q268" s="12"/>
      <c r="R268" s="106"/>
      <c r="S268" s="107"/>
      <c r="T268" s="106"/>
      <c r="U268" s="35"/>
      <c r="V268" s="35"/>
      <c r="W268" s="35"/>
      <c r="X268" s="20"/>
      <c r="Y268" s="11"/>
      <c r="Z268" s="11"/>
      <c r="AA268" s="38">
        <f>SUM(I268*J268)+(L268*M268)+(O268*P268)+(R268*S268)+(U268*V268)+(X268*Y268)</f>
        <v>0</v>
      </c>
      <c r="AB268" s="17" t="e">
        <f>AVERAGE(K268,N268,Q268,T268,W268,Z268)</f>
        <v>#DIV/0!</v>
      </c>
    </row>
    <row r="269" spans="2:28" hidden="1" x14ac:dyDescent="0.2">
      <c r="B269" s="10" t="s">
        <v>63</v>
      </c>
      <c r="C269" s="85"/>
      <c r="D269" s="96"/>
      <c r="E269" s="11"/>
      <c r="F269" s="86"/>
      <c r="G269" s="11"/>
      <c r="H269" s="88"/>
      <c r="I269" s="12"/>
      <c r="J269" s="13"/>
      <c r="K269" s="12"/>
      <c r="L269" s="106"/>
      <c r="M269" s="107"/>
      <c r="N269" s="106"/>
      <c r="O269" s="12"/>
      <c r="P269" s="13"/>
      <c r="Q269" s="12"/>
      <c r="R269" s="106"/>
      <c r="S269" s="107"/>
      <c r="T269" s="106"/>
      <c r="U269" s="35"/>
      <c r="V269" s="35"/>
      <c r="W269" s="35"/>
      <c r="X269" s="20"/>
      <c r="Y269" s="11"/>
      <c r="Z269" s="11"/>
      <c r="AA269" s="38">
        <f>SUM(I269*J269)+(L269*M269)+(O269*P269)+(R269*S269)+(U269*V269)+(X269*Y269)</f>
        <v>0</v>
      </c>
      <c r="AB269" s="17" t="e">
        <f>AVERAGE(K269,N269,Q269,T269,W269,Z269)</f>
        <v>#DIV/0!</v>
      </c>
    </row>
    <row r="270" spans="2:28" hidden="1" x14ac:dyDescent="0.2">
      <c r="B270" s="10" t="s">
        <v>64</v>
      </c>
      <c r="C270" s="85"/>
      <c r="D270" s="96"/>
      <c r="E270" s="11"/>
      <c r="F270" s="86"/>
      <c r="G270" s="11"/>
      <c r="H270" s="88"/>
      <c r="I270" s="12"/>
      <c r="J270" s="13"/>
      <c r="K270" s="12"/>
      <c r="L270" s="106"/>
      <c r="M270" s="107"/>
      <c r="N270" s="106"/>
      <c r="O270" s="12"/>
      <c r="P270" s="13"/>
      <c r="Q270" s="12"/>
      <c r="R270" s="106"/>
      <c r="S270" s="107"/>
      <c r="T270" s="106"/>
      <c r="U270" s="35"/>
      <c r="V270" s="35"/>
      <c r="W270" s="35"/>
      <c r="X270" s="20"/>
      <c r="Y270" s="11"/>
      <c r="Z270" s="11"/>
      <c r="AA270" s="38">
        <f>SUM(I270*J270)+(L270*M270)+(O270*P270)+(R270*S270)+(U270*V270)+(X270*Y270)</f>
        <v>0</v>
      </c>
      <c r="AB270" s="17" t="e">
        <f>AVERAGE(K270,N270,Q270,T270,W270,Z270)</f>
        <v>#DIV/0!</v>
      </c>
    </row>
    <row r="271" spans="2:28" hidden="1" x14ac:dyDescent="0.2">
      <c r="B271" s="10" t="s">
        <v>137</v>
      </c>
      <c r="C271" s="11"/>
      <c r="D271" s="11"/>
      <c r="E271" s="11"/>
      <c r="F271" s="11"/>
      <c r="G271" s="11"/>
      <c r="H271" s="11"/>
      <c r="I271" s="12"/>
      <c r="J271" s="13"/>
      <c r="K271" s="12"/>
      <c r="L271" s="106"/>
      <c r="M271" s="107"/>
      <c r="N271" s="106"/>
      <c r="O271" s="12"/>
      <c r="P271" s="13"/>
      <c r="Q271" s="12"/>
      <c r="R271" s="106"/>
      <c r="S271" s="107"/>
      <c r="T271" s="106"/>
      <c r="U271" s="35"/>
      <c r="V271" s="35"/>
      <c r="W271" s="35"/>
      <c r="X271" s="20"/>
      <c r="Y271" s="11"/>
      <c r="Z271" s="11"/>
      <c r="AA271" s="38">
        <f>SUM(I271*J271)+(L271*M271)+(O271*P271)+(R271*S271)+(U271*V271)+(X271*Y271)</f>
        <v>0</v>
      </c>
      <c r="AB271" s="17" t="e">
        <f>AVERAGE(K271,N271,Q271,T271,W271,Z271)</f>
        <v>#DIV/0!</v>
      </c>
    </row>
    <row r="272" spans="2:28" hidden="1" x14ac:dyDescent="0.2">
      <c r="B272" s="10" t="s">
        <v>139</v>
      </c>
      <c r="C272" s="11"/>
      <c r="D272" s="11"/>
      <c r="E272" s="11"/>
      <c r="F272" s="11"/>
      <c r="G272" s="11"/>
      <c r="H272" s="11"/>
      <c r="I272" s="12"/>
      <c r="J272" s="13"/>
      <c r="K272" s="12"/>
      <c r="L272" s="106"/>
      <c r="M272" s="107"/>
      <c r="N272" s="106"/>
      <c r="O272" s="12"/>
      <c r="P272" s="13"/>
      <c r="Q272" s="12"/>
      <c r="R272" s="106"/>
      <c r="S272" s="107"/>
      <c r="T272" s="106"/>
      <c r="U272" s="35"/>
      <c r="V272" s="35"/>
      <c r="W272" s="35"/>
      <c r="X272" s="20"/>
      <c r="Y272" s="11"/>
      <c r="Z272" s="11"/>
      <c r="AA272" s="39">
        <f t="shared" si="45"/>
        <v>0</v>
      </c>
      <c r="AB272" s="17" t="e">
        <f t="shared" si="44"/>
        <v>#DIV/0!</v>
      </c>
    </row>
    <row r="273" spans="2:28" hidden="1" x14ac:dyDescent="0.2">
      <c r="B273" s="202">
        <f>'Exercise Selection'!C9</f>
        <v>0</v>
      </c>
      <c r="C273" s="203"/>
      <c r="D273" s="203"/>
      <c r="E273" s="203"/>
      <c r="F273" s="203"/>
      <c r="G273" s="203"/>
      <c r="H273" s="203"/>
      <c r="I273" s="202" t="s">
        <v>119</v>
      </c>
      <c r="J273" s="203"/>
      <c r="K273" s="203"/>
      <c r="L273" s="202" t="s">
        <v>120</v>
      </c>
      <c r="M273" s="203"/>
      <c r="N273" s="203"/>
      <c r="O273" s="202" t="s">
        <v>121</v>
      </c>
      <c r="P273" s="203"/>
      <c r="Q273" s="203"/>
      <c r="R273" s="202" t="s">
        <v>122</v>
      </c>
      <c r="S273" s="203"/>
      <c r="T273" s="203"/>
      <c r="U273" s="202" t="s">
        <v>123</v>
      </c>
      <c r="V273" s="203"/>
      <c r="W273" s="203"/>
      <c r="X273" s="202" t="s">
        <v>124</v>
      </c>
      <c r="Y273" s="203"/>
      <c r="Z273" s="203"/>
      <c r="AA273" s="202" t="s">
        <v>126</v>
      </c>
      <c r="AB273" s="202" t="s">
        <v>127</v>
      </c>
    </row>
    <row r="274" spans="2:28" hidden="1" x14ac:dyDescent="0.2">
      <c r="B274" s="202"/>
      <c r="C274" s="203"/>
      <c r="D274" s="203"/>
      <c r="E274" s="203"/>
      <c r="F274" s="203"/>
      <c r="G274" s="203"/>
      <c r="H274" s="203"/>
      <c r="I274" s="148"/>
      <c r="J274" s="148"/>
      <c r="K274" s="148"/>
      <c r="L274" s="148"/>
      <c r="M274" s="148"/>
      <c r="N274" s="148"/>
      <c r="O274" s="148"/>
      <c r="P274" s="148"/>
      <c r="Q274" s="148"/>
      <c r="R274" s="148"/>
      <c r="S274" s="148"/>
      <c r="T274" s="148"/>
      <c r="U274" s="148"/>
      <c r="V274" s="148"/>
      <c r="W274" s="148"/>
      <c r="X274" s="148"/>
      <c r="Y274" s="148"/>
      <c r="Z274" s="148"/>
      <c r="AA274" s="203"/>
      <c r="AB274" s="203"/>
    </row>
    <row r="275" spans="2:28" s="111" customFormat="1" hidden="1" x14ac:dyDescent="0.2">
      <c r="B275" s="89" t="s">
        <v>128</v>
      </c>
      <c r="C275" s="90" t="s">
        <v>129</v>
      </c>
      <c r="D275" s="90" t="s">
        <v>38</v>
      </c>
      <c r="E275" s="90" t="s">
        <v>130</v>
      </c>
      <c r="F275" s="90" t="s">
        <v>131</v>
      </c>
      <c r="G275" s="91" t="s">
        <v>132</v>
      </c>
      <c r="H275" s="81" t="s">
        <v>133</v>
      </c>
      <c r="I275" s="80" t="s">
        <v>134</v>
      </c>
      <c r="J275" s="80" t="s">
        <v>135</v>
      </c>
      <c r="K275" s="80" t="s">
        <v>133</v>
      </c>
      <c r="L275" s="80" t="s">
        <v>134</v>
      </c>
      <c r="M275" s="80" t="s">
        <v>135</v>
      </c>
      <c r="N275" s="80" t="s">
        <v>133</v>
      </c>
      <c r="O275" s="80" t="s">
        <v>134</v>
      </c>
      <c r="P275" s="80" t="s">
        <v>135</v>
      </c>
      <c r="Q275" s="80" t="s">
        <v>133</v>
      </c>
      <c r="R275" s="80" t="s">
        <v>134</v>
      </c>
      <c r="S275" s="80" t="s">
        <v>135</v>
      </c>
      <c r="T275" s="80" t="s">
        <v>133</v>
      </c>
      <c r="U275" s="80" t="s">
        <v>134</v>
      </c>
      <c r="V275" s="80" t="s">
        <v>135</v>
      </c>
      <c r="W275" s="80" t="s">
        <v>133</v>
      </c>
      <c r="X275" s="80" t="s">
        <v>134</v>
      </c>
      <c r="Y275" s="80" t="s">
        <v>135</v>
      </c>
      <c r="Z275" s="82" t="s">
        <v>133</v>
      </c>
      <c r="AA275" s="203"/>
      <c r="AB275" s="203"/>
    </row>
    <row r="276" spans="2:28" hidden="1" x14ac:dyDescent="0.2">
      <c r="B276" s="10" t="s">
        <v>59</v>
      </c>
      <c r="C276" s="10"/>
      <c r="D276" s="10"/>
      <c r="E276" s="10"/>
      <c r="F276" s="10"/>
      <c r="G276" s="10"/>
      <c r="H276" s="10"/>
      <c r="I276" s="12"/>
      <c r="J276" s="13"/>
      <c r="K276" s="12"/>
      <c r="L276" s="106"/>
      <c r="M276" s="107"/>
      <c r="N276" s="106"/>
      <c r="O276" s="12"/>
      <c r="P276" s="13"/>
      <c r="Q276" s="12"/>
      <c r="R276" s="106"/>
      <c r="S276" s="107"/>
      <c r="T276" s="106"/>
      <c r="U276" s="12"/>
      <c r="V276" s="13"/>
      <c r="W276" s="12"/>
      <c r="X276" s="14"/>
      <c r="Y276" s="10"/>
      <c r="Z276" s="10"/>
      <c r="AA276" s="19">
        <f>SUM(I276*J276)+(L276*M276)+(O276*P276)+(R276*S276)+(U276*V276)+(X276*Y276)</f>
        <v>0</v>
      </c>
      <c r="AB276" s="17" t="e">
        <f t="shared" ref="AB276:AB283" si="46">AVERAGE(K276,N276,Q276,T276,W276,Z276)</f>
        <v>#DIV/0!</v>
      </c>
    </row>
    <row r="277" spans="2:28" hidden="1" x14ac:dyDescent="0.2">
      <c r="B277" s="10" t="s">
        <v>60</v>
      </c>
      <c r="C277" s="10"/>
      <c r="D277" s="10"/>
      <c r="E277" s="10"/>
      <c r="F277" s="10"/>
      <c r="G277" s="10"/>
      <c r="H277" s="10"/>
      <c r="I277" s="12"/>
      <c r="J277" s="13"/>
      <c r="K277" s="12"/>
      <c r="L277" s="106"/>
      <c r="M277" s="107"/>
      <c r="N277" s="106"/>
      <c r="O277" s="12"/>
      <c r="P277" s="13"/>
      <c r="Q277" s="12"/>
      <c r="R277" s="106"/>
      <c r="S277" s="107"/>
      <c r="T277" s="106"/>
      <c r="U277" s="12"/>
      <c r="V277" s="12"/>
      <c r="W277" s="12"/>
      <c r="X277" s="14"/>
      <c r="Y277" s="10"/>
      <c r="Z277" s="10"/>
      <c r="AA277" s="16">
        <f t="shared" ref="AA277:AA283" si="47">SUM(I277*J277)+(L277*M277)+(O277*P277)+(R277*S277)+(U277*V277)+(X277*Y277)</f>
        <v>0</v>
      </c>
      <c r="AB277" s="17" t="e">
        <f t="shared" si="46"/>
        <v>#DIV/0!</v>
      </c>
    </row>
    <row r="278" spans="2:28" hidden="1" x14ac:dyDescent="0.2">
      <c r="B278" s="10" t="s">
        <v>61</v>
      </c>
      <c r="C278" s="10"/>
      <c r="D278" s="10"/>
      <c r="E278" s="10"/>
      <c r="F278" s="10"/>
      <c r="G278" s="10"/>
      <c r="H278" s="10"/>
      <c r="I278" s="12"/>
      <c r="J278" s="13"/>
      <c r="K278" s="12"/>
      <c r="L278" s="106"/>
      <c r="M278" s="107"/>
      <c r="N278" s="106"/>
      <c r="O278" s="12"/>
      <c r="P278" s="13"/>
      <c r="Q278" s="12"/>
      <c r="R278" s="106"/>
      <c r="S278" s="107"/>
      <c r="T278" s="106"/>
      <c r="U278" s="12"/>
      <c r="V278" s="12"/>
      <c r="W278" s="12"/>
      <c r="X278" s="14"/>
      <c r="Y278" s="10"/>
      <c r="Z278" s="10"/>
      <c r="AA278" s="16">
        <f t="shared" si="47"/>
        <v>0</v>
      </c>
      <c r="AB278" s="17" t="e">
        <f t="shared" si="46"/>
        <v>#DIV/0!</v>
      </c>
    </row>
    <row r="279" spans="2:28" hidden="1" x14ac:dyDescent="0.2">
      <c r="B279" s="10" t="s">
        <v>62</v>
      </c>
      <c r="C279" s="10"/>
      <c r="D279" s="10"/>
      <c r="E279" s="10"/>
      <c r="F279" s="10"/>
      <c r="G279" s="10"/>
      <c r="H279" s="10"/>
      <c r="I279" s="12"/>
      <c r="J279" s="13"/>
      <c r="K279" s="12"/>
      <c r="L279" s="106"/>
      <c r="M279" s="107"/>
      <c r="N279" s="106"/>
      <c r="O279" s="12"/>
      <c r="P279" s="13"/>
      <c r="Q279" s="12"/>
      <c r="R279" s="106"/>
      <c r="S279" s="107"/>
      <c r="T279" s="106"/>
      <c r="U279" s="12"/>
      <c r="V279" s="12"/>
      <c r="W279" s="12"/>
      <c r="X279" s="14"/>
      <c r="Y279" s="10"/>
      <c r="Z279" s="10"/>
      <c r="AA279" s="16">
        <f>SUM(I279*J279)+(L279*M279)+(O279*P279)+(R279*S279)+(U279*V279)+(X279*Y279)</f>
        <v>0</v>
      </c>
      <c r="AB279" s="17" t="e">
        <f>AVERAGE(K279,N279,Q279,T279,W279,Z279)</f>
        <v>#DIV/0!</v>
      </c>
    </row>
    <row r="280" spans="2:28" hidden="1" x14ac:dyDescent="0.2">
      <c r="B280" s="10" t="s">
        <v>63</v>
      </c>
      <c r="C280" s="10"/>
      <c r="D280" s="10"/>
      <c r="E280" s="10"/>
      <c r="F280" s="10"/>
      <c r="G280" s="10"/>
      <c r="H280" s="10"/>
      <c r="I280" s="12"/>
      <c r="J280" s="13"/>
      <c r="K280" s="12"/>
      <c r="L280" s="106"/>
      <c r="M280" s="107"/>
      <c r="N280" s="106"/>
      <c r="O280" s="12"/>
      <c r="P280" s="13"/>
      <c r="Q280" s="12"/>
      <c r="R280" s="106"/>
      <c r="S280" s="107"/>
      <c r="T280" s="106"/>
      <c r="U280" s="12"/>
      <c r="V280" s="12"/>
      <c r="W280" s="12"/>
      <c r="X280" s="14"/>
      <c r="Y280" s="10"/>
      <c r="Z280" s="10"/>
      <c r="AA280" s="16">
        <f>SUM(I280*J280)+(L280*M280)+(O280*P280)+(R280*S280)+(U280*V280)+(X280*Y280)</f>
        <v>0</v>
      </c>
      <c r="AB280" s="17" t="e">
        <f>AVERAGE(K280,N280,Q280,T280,W280,Z280)</f>
        <v>#DIV/0!</v>
      </c>
    </row>
    <row r="281" spans="2:28" hidden="1" x14ac:dyDescent="0.2">
      <c r="B281" s="10" t="s">
        <v>64</v>
      </c>
      <c r="C281" s="10"/>
      <c r="D281" s="10"/>
      <c r="E281" s="10"/>
      <c r="F281" s="10"/>
      <c r="G281" s="10"/>
      <c r="H281" s="10"/>
      <c r="I281" s="12"/>
      <c r="J281" s="13"/>
      <c r="K281" s="12"/>
      <c r="L281" s="106"/>
      <c r="M281" s="107"/>
      <c r="N281" s="106"/>
      <c r="O281" s="12"/>
      <c r="P281" s="13"/>
      <c r="Q281" s="12"/>
      <c r="R281" s="106"/>
      <c r="S281" s="107"/>
      <c r="T281" s="106"/>
      <c r="U281" s="12"/>
      <c r="V281" s="12"/>
      <c r="W281" s="12"/>
      <c r="X281" s="14"/>
      <c r="Y281" s="10"/>
      <c r="Z281" s="10"/>
      <c r="AA281" s="16">
        <f>SUM(I281*J281)+(L281*M281)+(O281*P281)+(R281*S281)+(U281*V281)+(X281*Y281)</f>
        <v>0</v>
      </c>
      <c r="AB281" s="17" t="e">
        <f>AVERAGE(K281,N281,Q281,T281,W281,Z281)</f>
        <v>#DIV/0!</v>
      </c>
    </row>
    <row r="282" spans="2:28" hidden="1" x14ac:dyDescent="0.2">
      <c r="B282" s="10" t="s">
        <v>137</v>
      </c>
      <c r="C282" s="10"/>
      <c r="D282" s="10"/>
      <c r="E282" s="10"/>
      <c r="F282" s="10"/>
      <c r="G282" s="10"/>
      <c r="H282" s="10"/>
      <c r="I282" s="12"/>
      <c r="J282" s="13"/>
      <c r="K282" s="12"/>
      <c r="L282" s="106"/>
      <c r="M282" s="107"/>
      <c r="N282" s="106"/>
      <c r="O282" s="12"/>
      <c r="P282" s="13"/>
      <c r="Q282" s="12"/>
      <c r="R282" s="106"/>
      <c r="S282" s="107"/>
      <c r="T282" s="106"/>
      <c r="U282" s="12"/>
      <c r="V282" s="12"/>
      <c r="W282" s="12"/>
      <c r="X282" s="14"/>
      <c r="Y282" s="10"/>
      <c r="Z282" s="10"/>
      <c r="AA282" s="16">
        <f>SUM(I282*J282)+(L282*M282)+(O282*P282)+(R282*S282)+(U282*V282)+(X282*Y282)</f>
        <v>0</v>
      </c>
      <c r="AB282" s="17" t="e">
        <f>AVERAGE(K282,N282,Q282,T282,W282,Z282)</f>
        <v>#DIV/0!</v>
      </c>
    </row>
    <row r="283" spans="2:28" hidden="1" x14ac:dyDescent="0.2">
      <c r="B283" s="10" t="s">
        <v>139</v>
      </c>
      <c r="C283" s="10"/>
      <c r="D283" s="10"/>
      <c r="E283" s="10"/>
      <c r="F283" s="10"/>
      <c r="G283" s="10"/>
      <c r="H283" s="10"/>
      <c r="I283" s="12"/>
      <c r="J283" s="13"/>
      <c r="K283" s="12"/>
      <c r="L283" s="106"/>
      <c r="M283" s="107"/>
      <c r="N283" s="106"/>
      <c r="O283" s="12"/>
      <c r="P283" s="13"/>
      <c r="Q283" s="12"/>
      <c r="R283" s="106"/>
      <c r="S283" s="107"/>
      <c r="T283" s="106"/>
      <c r="U283" s="12"/>
      <c r="V283" s="12"/>
      <c r="W283" s="12"/>
      <c r="X283" s="14"/>
      <c r="Y283" s="10"/>
      <c r="Z283" s="10"/>
      <c r="AA283" s="16">
        <f t="shared" si="47"/>
        <v>0</v>
      </c>
      <c r="AB283" s="17" t="e">
        <f t="shared" si="46"/>
        <v>#DIV/0!</v>
      </c>
    </row>
    <row r="284" spans="2:28" x14ac:dyDescent="0.2">
      <c r="B284" s="125"/>
      <c r="C284" s="125"/>
      <c r="D284" s="125"/>
      <c r="E284" s="125"/>
      <c r="F284" s="125"/>
      <c r="G284" s="125"/>
      <c r="H284" s="125"/>
      <c r="I284" s="125"/>
      <c r="J284" s="126"/>
      <c r="K284" s="125"/>
      <c r="L284" s="125"/>
      <c r="M284" s="126"/>
      <c r="N284" s="125"/>
      <c r="O284" s="125"/>
      <c r="P284" s="126"/>
      <c r="Q284" s="125"/>
      <c r="R284" s="125"/>
      <c r="S284" s="126"/>
      <c r="T284" s="125"/>
      <c r="U284" s="125"/>
      <c r="V284" s="125"/>
      <c r="W284" s="125"/>
      <c r="X284" s="125"/>
      <c r="Y284" s="125"/>
      <c r="Z284" s="125"/>
      <c r="AA284" s="125"/>
      <c r="AB284" s="125"/>
    </row>
    <row r="285" spans="2:28" x14ac:dyDescent="0.2">
      <c r="B285" s="208" t="s">
        <v>142</v>
      </c>
      <c r="C285" s="208"/>
      <c r="D285" s="208"/>
      <c r="E285" s="208"/>
      <c r="F285" s="208"/>
      <c r="G285" s="208"/>
      <c r="H285" s="208"/>
      <c r="I285" s="206" t="e">
        <f>SUM(AA199+AA210+AA221+AA232+AA243+AA254+AA265+AA276)</f>
        <v>#VALUE!</v>
      </c>
      <c r="J285" s="207"/>
      <c r="K285" s="207"/>
      <c r="L285" s="208" t="s">
        <v>143</v>
      </c>
      <c r="M285" s="208"/>
      <c r="N285" s="208"/>
      <c r="O285" s="208"/>
      <c r="P285" s="208"/>
      <c r="Q285" s="206" t="e">
        <f>SUM(AA200+AA211+AA222+AA233+AA244+AA255+AA266+AA277)</f>
        <v>#VALUE!</v>
      </c>
      <c r="R285" s="207"/>
      <c r="S285" s="207"/>
      <c r="T285" s="216" t="s">
        <v>144</v>
      </c>
      <c r="U285" s="216"/>
      <c r="V285" s="216"/>
      <c r="W285" s="216"/>
      <c r="X285" s="216"/>
      <c r="Y285" s="216"/>
      <c r="Z285" s="216"/>
      <c r="AA285" s="216"/>
      <c r="AB285" s="216"/>
    </row>
    <row r="286" spans="2:28" x14ac:dyDescent="0.2">
      <c r="B286" s="208" t="s">
        <v>145</v>
      </c>
      <c r="C286" s="208"/>
      <c r="D286" s="208"/>
      <c r="E286" s="208"/>
      <c r="F286" s="208"/>
      <c r="G286" s="208"/>
      <c r="H286" s="208"/>
      <c r="I286" s="206" t="e">
        <f>SUM(AA201+AA212+AA223+AA234+AA245+AA256+AA267+AA278)</f>
        <v>#VALUE!</v>
      </c>
      <c r="J286" s="207"/>
      <c r="K286" s="207"/>
      <c r="L286" s="208" t="s">
        <v>146</v>
      </c>
      <c r="M286" s="208"/>
      <c r="N286" s="208"/>
      <c r="O286" s="208"/>
      <c r="P286" s="208"/>
      <c r="Q286" s="206" t="e">
        <f>SUM(AA202+AA213+AA224+AA235+AA246+AA257+AA268+AA279)</f>
        <v>#VALUE!</v>
      </c>
      <c r="R286" s="207"/>
      <c r="S286" s="207"/>
      <c r="T286" s="206" t="e">
        <f>SUM(I285+Q285+I286+Q286+I287+Q288+Q287+I288)</f>
        <v>#VALUE!</v>
      </c>
      <c r="U286" s="207"/>
      <c r="V286" s="207"/>
      <c r="W286" s="207"/>
      <c r="X286" s="207"/>
      <c r="Y286" s="207"/>
      <c r="Z286" s="207"/>
      <c r="AA286" s="207"/>
      <c r="AB286" s="207"/>
    </row>
    <row r="287" spans="2:28" x14ac:dyDescent="0.2">
      <c r="B287" s="208" t="s">
        <v>147</v>
      </c>
      <c r="C287" s="208"/>
      <c r="D287" s="208"/>
      <c r="E287" s="208"/>
      <c r="F287" s="208"/>
      <c r="G287" s="208"/>
      <c r="H287" s="208"/>
      <c r="I287" s="206" t="e">
        <f>SUM(AA203+AA214+AA225+AA236+AA247+AA258+AA269+AA280)</f>
        <v>#VALUE!</v>
      </c>
      <c r="J287" s="207"/>
      <c r="K287" s="207"/>
      <c r="L287" s="208" t="s">
        <v>148</v>
      </c>
      <c r="M287" s="208"/>
      <c r="N287" s="208"/>
      <c r="O287" s="208"/>
      <c r="P287" s="208"/>
      <c r="Q287" s="206">
        <f>SUM(AA204+AA215+AA226+AA237+AA248+AA259+AA270+AA281)</f>
        <v>3270</v>
      </c>
      <c r="R287" s="207"/>
      <c r="S287" s="207"/>
      <c r="T287" s="149"/>
      <c r="U287" s="149"/>
      <c r="V287" s="149"/>
      <c r="W287" s="149"/>
      <c r="X287" s="149"/>
      <c r="Y287" s="149"/>
      <c r="Z287" s="149"/>
      <c r="AA287" s="149"/>
      <c r="AB287" s="149"/>
    </row>
    <row r="288" spans="2:28" x14ac:dyDescent="0.2">
      <c r="B288" s="208" t="s">
        <v>149</v>
      </c>
      <c r="C288" s="208"/>
      <c r="D288" s="208"/>
      <c r="E288" s="208"/>
      <c r="F288" s="208"/>
      <c r="G288" s="208"/>
      <c r="H288" s="208"/>
      <c r="I288" s="206">
        <f>SUM(AA205+AA216+AA227+AA238+AA249+AA260+AA271+AA282)</f>
        <v>0</v>
      </c>
      <c r="J288" s="207"/>
      <c r="K288" s="207"/>
      <c r="L288" s="208" t="s">
        <v>150</v>
      </c>
      <c r="M288" s="208"/>
      <c r="N288" s="208"/>
      <c r="O288" s="208"/>
      <c r="P288" s="208"/>
      <c r="Q288" s="206">
        <f>SUM(AA206+AA217+AA228+AA239+AA250+AA261+AA272+AA283)</f>
        <v>0</v>
      </c>
      <c r="R288" s="207"/>
      <c r="S288" s="207"/>
      <c r="T288" s="149"/>
      <c r="U288" s="149"/>
      <c r="V288" s="149"/>
      <c r="W288" s="149"/>
      <c r="X288" s="149"/>
      <c r="Y288" s="149"/>
      <c r="Z288" s="149"/>
      <c r="AA288" s="149"/>
      <c r="AB288" s="149"/>
    </row>
    <row r="289" spans="1:28" ht="9" customHeight="1" x14ac:dyDescent="0.2">
      <c r="B289" s="211" t="str">
        <f>'Exercise Selection'!A14</f>
        <v>Session 4 Saturday</v>
      </c>
      <c r="C289" s="211"/>
      <c r="D289" s="211"/>
      <c r="E289" s="211"/>
      <c r="F289" s="211"/>
      <c r="G289" s="211"/>
      <c r="H289" s="211"/>
      <c r="I289" s="211"/>
      <c r="J289" s="211"/>
      <c r="K289" s="211"/>
      <c r="L289" s="211"/>
      <c r="M289" s="211"/>
      <c r="N289" s="211"/>
      <c r="O289" s="211"/>
      <c r="P289" s="211"/>
      <c r="Q289" s="211"/>
      <c r="R289" s="211"/>
      <c r="S289" s="211"/>
      <c r="T289" s="211"/>
      <c r="U289" s="211"/>
      <c r="V289" s="211"/>
      <c r="W289" s="211"/>
      <c r="X289" s="211"/>
      <c r="Y289" s="211"/>
      <c r="Z289" s="211"/>
      <c r="AA289" s="211"/>
      <c r="AB289" s="211"/>
    </row>
    <row r="290" spans="1:28" ht="9" customHeight="1" x14ac:dyDescent="0.2">
      <c r="B290" s="211"/>
      <c r="C290" s="211"/>
      <c r="D290" s="211"/>
      <c r="E290" s="211"/>
      <c r="F290" s="211"/>
      <c r="G290" s="211"/>
      <c r="H290" s="211"/>
      <c r="I290" s="211"/>
      <c r="J290" s="211"/>
      <c r="K290" s="211"/>
      <c r="L290" s="211"/>
      <c r="M290" s="211"/>
      <c r="N290" s="211"/>
      <c r="O290" s="211"/>
      <c r="P290" s="211"/>
      <c r="Q290" s="211"/>
      <c r="R290" s="211"/>
      <c r="S290" s="211"/>
      <c r="T290" s="211"/>
      <c r="U290" s="211"/>
      <c r="V290" s="211"/>
      <c r="W290" s="211"/>
      <c r="X290" s="211"/>
      <c r="Y290" s="211"/>
      <c r="Z290" s="211"/>
      <c r="AA290" s="211"/>
      <c r="AB290" s="211"/>
    </row>
    <row r="291" spans="1:28" ht="9" customHeight="1" x14ac:dyDescent="0.2">
      <c r="B291" s="211"/>
      <c r="C291" s="211"/>
      <c r="D291" s="211"/>
      <c r="E291" s="211"/>
      <c r="F291" s="211"/>
      <c r="G291" s="211"/>
      <c r="H291" s="211"/>
      <c r="I291" s="211"/>
      <c r="J291" s="211"/>
      <c r="K291" s="211"/>
      <c r="L291" s="211"/>
      <c r="M291" s="211"/>
      <c r="N291" s="211"/>
      <c r="O291" s="211"/>
      <c r="P291" s="211"/>
      <c r="Q291" s="211"/>
      <c r="R291" s="211"/>
      <c r="S291" s="211"/>
      <c r="T291" s="211"/>
      <c r="U291" s="211"/>
      <c r="V291" s="211"/>
      <c r="W291" s="211"/>
      <c r="X291" s="211"/>
      <c r="Y291" s="211"/>
      <c r="Z291" s="211"/>
      <c r="AA291" s="211"/>
      <c r="AB291" s="211"/>
    </row>
    <row r="292" spans="1:28" x14ac:dyDescent="0.2">
      <c r="B292" s="214" t="str">
        <f>'Exercise Selection'!A15</f>
        <v>(A1) Flat Bench Dumbbell Bench</v>
      </c>
      <c r="C292" s="215"/>
      <c r="D292" s="215"/>
      <c r="E292" s="215"/>
      <c r="F292" s="215"/>
      <c r="G292" s="215"/>
      <c r="H292" s="215"/>
      <c r="I292" s="202" t="s">
        <v>119</v>
      </c>
      <c r="J292" s="203"/>
      <c r="K292" s="203"/>
      <c r="L292" s="202" t="s">
        <v>120</v>
      </c>
      <c r="M292" s="203"/>
      <c r="N292" s="203"/>
      <c r="O292" s="202" t="s">
        <v>121</v>
      </c>
      <c r="P292" s="203"/>
      <c r="Q292" s="203"/>
      <c r="R292" s="202" t="s">
        <v>122</v>
      </c>
      <c r="S292" s="203"/>
      <c r="T292" s="203"/>
      <c r="U292" s="202" t="s">
        <v>123</v>
      </c>
      <c r="V292" s="203"/>
      <c r="W292" s="203"/>
      <c r="X292" s="202" t="s">
        <v>124</v>
      </c>
      <c r="Y292" s="203"/>
      <c r="Z292" s="203"/>
      <c r="AA292" s="202" t="s">
        <v>126</v>
      </c>
      <c r="AB292" s="212" t="s">
        <v>127</v>
      </c>
    </row>
    <row r="293" spans="1:28" x14ac:dyDescent="0.2">
      <c r="A293" s="18" t="s">
        <v>167</v>
      </c>
      <c r="B293" s="204"/>
      <c r="C293" s="205"/>
      <c r="D293" s="205"/>
      <c r="E293" s="205"/>
      <c r="F293" s="205"/>
      <c r="G293" s="205"/>
      <c r="H293" s="205"/>
      <c r="I293" s="148"/>
      <c r="J293" s="148"/>
      <c r="K293" s="148"/>
      <c r="L293" s="148"/>
      <c r="M293" s="148"/>
      <c r="N293" s="148"/>
      <c r="O293" s="148"/>
      <c r="P293" s="148"/>
      <c r="Q293" s="148"/>
      <c r="R293" s="148"/>
      <c r="S293" s="148"/>
      <c r="T293" s="148"/>
      <c r="U293" s="148"/>
      <c r="V293" s="148"/>
      <c r="W293" s="148"/>
      <c r="X293" s="148"/>
      <c r="Y293" s="148"/>
      <c r="Z293" s="148"/>
      <c r="AA293" s="203"/>
      <c r="AB293" s="213"/>
    </row>
    <row r="294" spans="1:28" s="111" customFormat="1" x14ac:dyDescent="0.2">
      <c r="B294" s="89" t="s">
        <v>128</v>
      </c>
      <c r="C294" s="90" t="s">
        <v>129</v>
      </c>
      <c r="D294" s="90" t="s">
        <v>38</v>
      </c>
      <c r="E294" s="90" t="s">
        <v>130</v>
      </c>
      <c r="F294" s="90" t="s">
        <v>131</v>
      </c>
      <c r="G294" s="91" t="s">
        <v>132</v>
      </c>
      <c r="H294" s="81" t="s">
        <v>133</v>
      </c>
      <c r="I294" s="83" t="s">
        <v>134</v>
      </c>
      <c r="J294" s="83" t="s">
        <v>135</v>
      </c>
      <c r="K294" s="83" t="s">
        <v>133</v>
      </c>
      <c r="L294" s="83" t="s">
        <v>134</v>
      </c>
      <c r="M294" s="83" t="s">
        <v>135</v>
      </c>
      <c r="N294" s="83" t="s">
        <v>133</v>
      </c>
      <c r="O294" s="83" t="s">
        <v>134</v>
      </c>
      <c r="P294" s="83" t="s">
        <v>135</v>
      </c>
      <c r="Q294" s="83" t="s">
        <v>133</v>
      </c>
      <c r="R294" s="83" t="s">
        <v>134</v>
      </c>
      <c r="S294" s="83" t="s">
        <v>135</v>
      </c>
      <c r="T294" s="83" t="s">
        <v>133</v>
      </c>
      <c r="U294" s="83" t="s">
        <v>134</v>
      </c>
      <c r="V294" s="83" t="s">
        <v>135</v>
      </c>
      <c r="W294" s="83" t="s">
        <v>133</v>
      </c>
      <c r="X294" s="83" t="s">
        <v>134</v>
      </c>
      <c r="Y294" s="83" t="s">
        <v>135</v>
      </c>
      <c r="Z294" s="84" t="s">
        <v>133</v>
      </c>
      <c r="AA294" s="203"/>
      <c r="AB294" s="213"/>
    </row>
    <row r="295" spans="1:28" x14ac:dyDescent="0.2">
      <c r="B295" s="10" t="s">
        <v>59</v>
      </c>
      <c r="C295" s="10">
        <v>2</v>
      </c>
      <c r="D295" s="10">
        <v>12</v>
      </c>
      <c r="E295" s="10"/>
      <c r="F295" s="10" t="s">
        <v>140</v>
      </c>
      <c r="G295" s="10"/>
      <c r="H295" s="10">
        <v>2</v>
      </c>
      <c r="I295" s="12">
        <v>32</v>
      </c>
      <c r="J295" s="13">
        <v>12</v>
      </c>
      <c r="K295" s="12"/>
      <c r="L295" s="106">
        <v>32</v>
      </c>
      <c r="M295" s="107">
        <v>12</v>
      </c>
      <c r="N295" s="106"/>
      <c r="O295" s="12"/>
      <c r="P295" s="13"/>
      <c r="Q295" s="12"/>
      <c r="R295" s="106"/>
      <c r="S295" s="107"/>
      <c r="T295" s="106"/>
      <c r="U295" s="33"/>
      <c r="V295" s="34"/>
      <c r="W295" s="33"/>
      <c r="X295" s="14"/>
      <c r="Y295" s="10"/>
      <c r="Z295" s="10"/>
      <c r="AA295" s="37">
        <f>SUM(I295*J295)+(L295*M295)+(O295*P295)+(R295*S295)+(U295*V295)+(X295*Y295)</f>
        <v>768</v>
      </c>
      <c r="AB295" s="17" t="e">
        <f>AVERAGE(K295,N295,Q295,T295,W295,Z295)</f>
        <v>#DIV/0!</v>
      </c>
    </row>
    <row r="296" spans="1:28" x14ac:dyDescent="0.2">
      <c r="B296" s="10" t="s">
        <v>60</v>
      </c>
      <c r="C296" s="10">
        <v>3</v>
      </c>
      <c r="D296" s="10">
        <v>12</v>
      </c>
      <c r="E296" s="10"/>
      <c r="F296" s="10" t="s">
        <v>140</v>
      </c>
      <c r="G296" s="10"/>
      <c r="H296" s="10">
        <v>1</v>
      </c>
      <c r="I296" s="12">
        <v>32</v>
      </c>
      <c r="J296" s="13">
        <v>12</v>
      </c>
      <c r="K296" s="12"/>
      <c r="L296" s="106">
        <v>32</v>
      </c>
      <c r="M296" s="107">
        <v>12</v>
      </c>
      <c r="N296" s="106"/>
      <c r="O296" s="12">
        <v>36</v>
      </c>
      <c r="P296" s="13">
        <v>12</v>
      </c>
      <c r="Q296" s="12"/>
      <c r="R296" s="106"/>
      <c r="S296" s="107"/>
      <c r="T296" s="106"/>
      <c r="U296" s="33"/>
      <c r="V296" s="33"/>
      <c r="W296" s="33"/>
      <c r="X296" s="14"/>
      <c r="Y296" s="10"/>
      <c r="Z296" s="10"/>
      <c r="AA296" s="38">
        <f t="shared" ref="AA296:AA302" si="48">SUM(I296*J296)+(L296*M296)+(O296*P296)+(R296*S296)+(U296*V296)+(X296*Y296)</f>
        <v>1200</v>
      </c>
      <c r="AB296" s="17" t="e">
        <f t="shared" ref="AB296:AB302" si="49">AVERAGE(K296,N296,Q296,T296,W296,Z296)</f>
        <v>#DIV/0!</v>
      </c>
    </row>
    <row r="297" spans="1:28" x14ac:dyDescent="0.2">
      <c r="B297" s="10" t="s">
        <v>61</v>
      </c>
      <c r="C297" s="10">
        <v>4</v>
      </c>
      <c r="D297" s="10">
        <v>10</v>
      </c>
      <c r="E297" s="10"/>
      <c r="F297" s="10" t="s">
        <v>140</v>
      </c>
      <c r="G297" s="10"/>
      <c r="H297" s="10">
        <v>2</v>
      </c>
      <c r="I297" s="12">
        <v>36</v>
      </c>
      <c r="J297" s="13">
        <v>10</v>
      </c>
      <c r="K297" s="12"/>
      <c r="L297" s="106">
        <v>40</v>
      </c>
      <c r="M297" s="107">
        <v>10</v>
      </c>
      <c r="N297" s="106"/>
      <c r="O297" s="12">
        <v>40</v>
      </c>
      <c r="P297" s="13">
        <v>10</v>
      </c>
      <c r="Q297" s="12"/>
      <c r="R297" s="106">
        <v>44</v>
      </c>
      <c r="S297" s="107">
        <v>10</v>
      </c>
      <c r="T297" s="106"/>
      <c r="U297" s="33"/>
      <c r="V297" s="33"/>
      <c r="W297" s="33"/>
      <c r="X297" s="14"/>
      <c r="Y297" s="10"/>
      <c r="Z297" s="10"/>
      <c r="AA297" s="38">
        <f t="shared" si="48"/>
        <v>1600</v>
      </c>
      <c r="AB297" s="17" t="e">
        <f t="shared" si="49"/>
        <v>#DIV/0!</v>
      </c>
    </row>
    <row r="298" spans="1:28" x14ac:dyDescent="0.2">
      <c r="B298" s="10" t="s">
        <v>62</v>
      </c>
      <c r="C298" s="11">
        <v>2</v>
      </c>
      <c r="D298" s="11">
        <v>10</v>
      </c>
      <c r="E298" s="11"/>
      <c r="F298" s="10" t="s">
        <v>140</v>
      </c>
      <c r="G298" s="10"/>
      <c r="H298" s="11">
        <v>1</v>
      </c>
      <c r="I298" s="12">
        <v>44</v>
      </c>
      <c r="J298" s="13">
        <v>10</v>
      </c>
      <c r="K298" s="12"/>
      <c r="L298" s="106">
        <v>48</v>
      </c>
      <c r="M298" s="107">
        <v>10</v>
      </c>
      <c r="N298" s="106"/>
      <c r="O298" s="12"/>
      <c r="P298" s="13"/>
      <c r="Q298" s="12"/>
      <c r="R298" s="106"/>
      <c r="S298" s="107"/>
      <c r="T298" s="106"/>
      <c r="U298" s="35"/>
      <c r="V298" s="35"/>
      <c r="W298" s="35"/>
      <c r="X298" s="20"/>
      <c r="Y298" s="11"/>
      <c r="Z298" s="11"/>
      <c r="AA298" s="38">
        <f>SUM(I298*J298)+(L298*M298)+(O298*P298)+(R298*S298)+(U298*V298)+(X298*Y298)</f>
        <v>920</v>
      </c>
      <c r="AB298" s="17" t="e">
        <f>AVERAGE(K298,N298,Q298,T298,W298,Z298)</f>
        <v>#DIV/0!</v>
      </c>
    </row>
    <row r="299" spans="1:28" x14ac:dyDescent="0.2">
      <c r="B299" s="10" t="s">
        <v>63</v>
      </c>
      <c r="C299" s="10">
        <v>3</v>
      </c>
      <c r="D299" s="10">
        <v>8</v>
      </c>
      <c r="E299" s="10"/>
      <c r="F299" s="10" t="s">
        <v>140</v>
      </c>
      <c r="G299" s="10"/>
      <c r="H299" s="10">
        <v>2</v>
      </c>
      <c r="I299" s="12"/>
      <c r="J299" s="13"/>
      <c r="K299" s="12"/>
      <c r="L299" s="106"/>
      <c r="M299" s="107"/>
      <c r="N299" s="106"/>
      <c r="O299" s="12"/>
      <c r="P299" s="13"/>
      <c r="Q299" s="12"/>
      <c r="R299" s="106"/>
      <c r="S299" s="107"/>
      <c r="T299" s="106"/>
      <c r="U299" s="35"/>
      <c r="V299" s="35"/>
      <c r="W299" s="35"/>
      <c r="X299" s="20"/>
      <c r="Y299" s="11"/>
      <c r="Z299" s="11"/>
      <c r="AA299" s="38">
        <f>SUM(I299*J299)+(L299*M299)+(O299*P299)+(R299*S299)+(U299*V299)+(X299*Y299)</f>
        <v>0</v>
      </c>
      <c r="AB299" s="17" t="e">
        <f>AVERAGE(K299,N299,Q299,T299,W299,Z299)</f>
        <v>#DIV/0!</v>
      </c>
    </row>
    <row r="300" spans="1:28" x14ac:dyDescent="0.2">
      <c r="B300" s="85" t="s">
        <v>64</v>
      </c>
      <c r="C300" s="11">
        <v>4</v>
      </c>
      <c r="D300" s="11">
        <v>8</v>
      </c>
      <c r="E300" s="11"/>
      <c r="F300" s="10" t="s">
        <v>140</v>
      </c>
      <c r="G300" s="10"/>
      <c r="H300" s="11">
        <v>1</v>
      </c>
      <c r="I300" s="12"/>
      <c r="J300" s="13"/>
      <c r="K300" s="12"/>
      <c r="L300" s="106"/>
      <c r="M300" s="107"/>
      <c r="N300" s="106"/>
      <c r="O300" s="12"/>
      <c r="P300" s="13"/>
      <c r="Q300" s="12"/>
      <c r="R300" s="106"/>
      <c r="S300" s="107"/>
      <c r="T300" s="106"/>
      <c r="U300" s="35"/>
      <c r="V300" s="35"/>
      <c r="W300" s="35"/>
      <c r="X300" s="20"/>
      <c r="Y300" s="11"/>
      <c r="Z300" s="11"/>
      <c r="AA300" s="38">
        <f>SUM(I300*J300)+(L300*M300)+(O300*P300)+(R300*S300)+(U300*V300)+(X300*Y300)</f>
        <v>0</v>
      </c>
      <c r="AB300" s="17" t="e">
        <f>AVERAGE(K300,N300,Q300,T300,W300,Z300)</f>
        <v>#DIV/0!</v>
      </c>
    </row>
    <row r="301" spans="1:28" hidden="1" x14ac:dyDescent="0.2">
      <c r="B301" s="10" t="s">
        <v>137</v>
      </c>
      <c r="C301" s="89">
        <v>1</v>
      </c>
      <c r="D301" s="88">
        <v>2</v>
      </c>
      <c r="E301" s="102"/>
      <c r="F301" s="92" t="s">
        <v>168</v>
      </c>
      <c r="G301" s="88"/>
      <c r="H301" s="88">
        <v>9.5</v>
      </c>
      <c r="I301" s="12"/>
      <c r="J301" s="13"/>
      <c r="K301" s="12"/>
      <c r="L301" s="106"/>
      <c r="M301" s="107"/>
      <c r="N301" s="106"/>
      <c r="O301" s="12"/>
      <c r="P301" s="13"/>
      <c r="Q301" s="12"/>
      <c r="R301" s="106"/>
      <c r="S301" s="107"/>
      <c r="T301" s="106"/>
      <c r="U301" s="35"/>
      <c r="V301" s="35"/>
      <c r="W301" s="35"/>
      <c r="X301" s="20"/>
      <c r="Y301" s="11"/>
      <c r="Z301" s="11"/>
      <c r="AA301" s="38">
        <f>SUM(I301*J301)+(L301*M301)+(O301*P301)+(R301*S301)+(U301*V301)+(X301*Y301)</f>
        <v>0</v>
      </c>
      <c r="AB301" s="17" t="e">
        <f>AVERAGE(K301,N301,Q301,T301,W301,Z301)</f>
        <v>#DIV/0!</v>
      </c>
    </row>
    <row r="302" spans="1:28" hidden="1" x14ac:dyDescent="0.2">
      <c r="B302" s="10" t="s">
        <v>139</v>
      </c>
      <c r="C302" s="140">
        <v>1</v>
      </c>
      <c r="D302" s="88">
        <v>2</v>
      </c>
      <c r="E302" s="102"/>
      <c r="F302" s="92" t="s">
        <v>168</v>
      </c>
      <c r="G302" s="88"/>
      <c r="H302" s="88">
        <v>9.5</v>
      </c>
      <c r="I302" s="12"/>
      <c r="J302" s="13"/>
      <c r="K302" s="12"/>
      <c r="L302" s="106"/>
      <c r="M302" s="107"/>
      <c r="N302" s="106"/>
      <c r="O302" s="12"/>
      <c r="P302" s="13"/>
      <c r="Q302" s="12"/>
      <c r="R302" s="106"/>
      <c r="S302" s="107"/>
      <c r="T302" s="106"/>
      <c r="U302" s="35"/>
      <c r="V302" s="35"/>
      <c r="W302" s="35"/>
      <c r="X302" s="20"/>
      <c r="Y302" s="11"/>
      <c r="Z302" s="11"/>
      <c r="AA302" s="39">
        <f t="shared" si="48"/>
        <v>0</v>
      </c>
      <c r="AB302" s="17" t="e">
        <f t="shared" si="49"/>
        <v>#DIV/0!</v>
      </c>
    </row>
    <row r="303" spans="1:28" x14ac:dyDescent="0.2">
      <c r="B303" s="214" t="str">
        <f>'Exercise Selection'!A16</f>
        <v>(A2) Single Arm Dumbbell Row</v>
      </c>
      <c r="C303" s="215"/>
      <c r="D303" s="215"/>
      <c r="E303" s="215"/>
      <c r="F303" s="215"/>
      <c r="G303" s="215"/>
      <c r="H303" s="215"/>
      <c r="I303" s="202" t="s">
        <v>119</v>
      </c>
      <c r="J303" s="203"/>
      <c r="K303" s="203"/>
      <c r="L303" s="202" t="s">
        <v>120</v>
      </c>
      <c r="M303" s="203"/>
      <c r="N303" s="203"/>
      <c r="O303" s="202" t="s">
        <v>121</v>
      </c>
      <c r="P303" s="203"/>
      <c r="Q303" s="203"/>
      <c r="R303" s="202" t="s">
        <v>122</v>
      </c>
      <c r="S303" s="203"/>
      <c r="T303" s="203"/>
      <c r="U303" s="202" t="s">
        <v>123</v>
      </c>
      <c r="V303" s="203"/>
      <c r="W303" s="203"/>
      <c r="X303" s="202" t="s">
        <v>124</v>
      </c>
      <c r="Y303" s="203"/>
      <c r="Z303" s="203"/>
      <c r="AA303" s="202" t="s">
        <v>126</v>
      </c>
      <c r="AB303" s="212" t="s">
        <v>127</v>
      </c>
    </row>
    <row r="304" spans="1:28" x14ac:dyDescent="0.2">
      <c r="B304" s="202"/>
      <c r="C304" s="203"/>
      <c r="D304" s="203"/>
      <c r="E304" s="203"/>
      <c r="F304" s="203"/>
      <c r="G304" s="203"/>
      <c r="H304" s="203"/>
      <c r="I304" s="148"/>
      <c r="J304" s="148"/>
      <c r="K304" s="148"/>
      <c r="L304" s="148"/>
      <c r="M304" s="148"/>
      <c r="N304" s="148"/>
      <c r="O304" s="148"/>
      <c r="P304" s="148"/>
      <c r="Q304" s="148"/>
      <c r="R304" s="148"/>
      <c r="S304" s="148"/>
      <c r="T304" s="148"/>
      <c r="U304" s="148"/>
      <c r="V304" s="148"/>
      <c r="W304" s="148"/>
      <c r="X304" s="148"/>
      <c r="Y304" s="148"/>
      <c r="Z304" s="148"/>
      <c r="AA304" s="203"/>
      <c r="AB304" s="213"/>
    </row>
    <row r="305" spans="2:28" s="111" customFormat="1" x14ac:dyDescent="0.2">
      <c r="B305" s="89" t="s">
        <v>128</v>
      </c>
      <c r="C305" s="90" t="s">
        <v>129</v>
      </c>
      <c r="D305" s="90" t="s">
        <v>38</v>
      </c>
      <c r="E305" s="90" t="s">
        <v>130</v>
      </c>
      <c r="F305" s="90" t="s">
        <v>131</v>
      </c>
      <c r="G305" s="91" t="s">
        <v>132</v>
      </c>
      <c r="H305" s="81" t="s">
        <v>133</v>
      </c>
      <c r="I305" s="83" t="s">
        <v>134</v>
      </c>
      <c r="J305" s="83" t="s">
        <v>135</v>
      </c>
      <c r="K305" s="83" t="s">
        <v>133</v>
      </c>
      <c r="L305" s="83" t="s">
        <v>134</v>
      </c>
      <c r="M305" s="83" t="s">
        <v>135</v>
      </c>
      <c r="N305" s="83" t="s">
        <v>133</v>
      </c>
      <c r="O305" s="83" t="s">
        <v>134</v>
      </c>
      <c r="P305" s="83" t="s">
        <v>135</v>
      </c>
      <c r="Q305" s="83" t="s">
        <v>133</v>
      </c>
      <c r="R305" s="83" t="s">
        <v>134</v>
      </c>
      <c r="S305" s="83" t="s">
        <v>135</v>
      </c>
      <c r="T305" s="83" t="s">
        <v>133</v>
      </c>
      <c r="U305" s="83" t="s">
        <v>134</v>
      </c>
      <c r="V305" s="83" t="s">
        <v>135</v>
      </c>
      <c r="W305" s="83" t="s">
        <v>133</v>
      </c>
      <c r="X305" s="83" t="s">
        <v>134</v>
      </c>
      <c r="Y305" s="83" t="s">
        <v>135</v>
      </c>
      <c r="Z305" s="84" t="s">
        <v>133</v>
      </c>
      <c r="AA305" s="203"/>
      <c r="AB305" s="213"/>
    </row>
    <row r="306" spans="2:28" x14ac:dyDescent="0.2">
      <c r="B306" s="10" t="s">
        <v>59</v>
      </c>
      <c r="C306" s="10">
        <v>2</v>
      </c>
      <c r="D306" s="10">
        <v>12</v>
      </c>
      <c r="E306" s="10"/>
      <c r="F306" s="10" t="s">
        <v>140</v>
      </c>
      <c r="G306" s="10"/>
      <c r="H306" s="10">
        <v>2</v>
      </c>
      <c r="I306" s="12">
        <v>12</v>
      </c>
      <c r="J306" s="13">
        <v>12</v>
      </c>
      <c r="K306" s="12"/>
      <c r="L306" s="106">
        <v>12</v>
      </c>
      <c r="M306" s="107">
        <v>12</v>
      </c>
      <c r="N306" s="106"/>
      <c r="O306" s="12"/>
      <c r="P306" s="13"/>
      <c r="Q306" s="12"/>
      <c r="R306" s="106"/>
      <c r="S306" s="107"/>
      <c r="T306" s="106"/>
      <c r="U306" s="33"/>
      <c r="V306" s="34"/>
      <c r="W306" s="33"/>
      <c r="X306" s="14"/>
      <c r="Y306" s="10"/>
      <c r="Z306" s="10"/>
      <c r="AA306" s="37">
        <f>SUM(I306*J306)+(L306*M306)+(O306*P306)+(R306*S306)+(U306*V306)+(X306*Y306)</f>
        <v>288</v>
      </c>
      <c r="AB306" s="17" t="e">
        <f>AVERAGE(K306,N306,Q306,T306,W306,Z306)</f>
        <v>#DIV/0!</v>
      </c>
    </row>
    <row r="307" spans="2:28" x14ac:dyDescent="0.2">
      <c r="B307" s="10" t="s">
        <v>60</v>
      </c>
      <c r="C307" s="10">
        <v>3</v>
      </c>
      <c r="D307" s="10">
        <v>12</v>
      </c>
      <c r="E307" s="10"/>
      <c r="F307" s="10" t="s">
        <v>140</v>
      </c>
      <c r="G307" s="10"/>
      <c r="H307" s="10">
        <v>1</v>
      </c>
      <c r="I307" s="12">
        <v>12</v>
      </c>
      <c r="J307" s="13">
        <v>12</v>
      </c>
      <c r="K307" s="12"/>
      <c r="L307" s="106">
        <v>14</v>
      </c>
      <c r="M307" s="107">
        <v>12</v>
      </c>
      <c r="N307" s="106"/>
      <c r="O307" s="12">
        <v>14</v>
      </c>
      <c r="P307" s="13">
        <v>12</v>
      </c>
      <c r="Q307" s="12"/>
      <c r="R307" s="106"/>
      <c r="S307" s="107"/>
      <c r="T307" s="106"/>
      <c r="U307" s="33"/>
      <c r="V307" s="33"/>
      <c r="W307" s="33"/>
      <c r="X307" s="14"/>
      <c r="Y307" s="10"/>
      <c r="Z307" s="10"/>
      <c r="AA307" s="38">
        <f t="shared" ref="AA307:AA313" si="50">SUM(I307*J307)+(L307*M307)+(O307*P307)+(R307*S307)+(U307*V307)+(X307*Y307)</f>
        <v>480</v>
      </c>
      <c r="AB307" s="17" t="e">
        <f t="shared" ref="AB307:AB313" si="51">AVERAGE(K307,N307,Q307,T307,W307,Z307)</f>
        <v>#DIV/0!</v>
      </c>
    </row>
    <row r="308" spans="2:28" x14ac:dyDescent="0.2">
      <c r="B308" s="10" t="s">
        <v>61</v>
      </c>
      <c r="C308" s="10">
        <v>4</v>
      </c>
      <c r="D308" s="10">
        <v>10</v>
      </c>
      <c r="E308" s="10"/>
      <c r="F308" s="10" t="s">
        <v>140</v>
      </c>
      <c r="G308" s="10"/>
      <c r="H308" s="10">
        <v>2</v>
      </c>
      <c r="I308" s="12">
        <v>14</v>
      </c>
      <c r="J308" s="13">
        <v>10</v>
      </c>
      <c r="K308" s="12"/>
      <c r="L308" s="106">
        <v>16</v>
      </c>
      <c r="M308" s="107">
        <v>10</v>
      </c>
      <c r="N308" s="106"/>
      <c r="O308" s="12">
        <v>16</v>
      </c>
      <c r="P308" s="13">
        <v>10</v>
      </c>
      <c r="Q308" s="12"/>
      <c r="R308" s="106">
        <v>16</v>
      </c>
      <c r="S308" s="107">
        <v>10</v>
      </c>
      <c r="T308" s="106"/>
      <c r="U308" s="33"/>
      <c r="V308" s="33"/>
      <c r="W308" s="33"/>
      <c r="X308" s="14"/>
      <c r="Y308" s="10"/>
      <c r="Z308" s="10"/>
      <c r="AA308" s="38">
        <f t="shared" si="50"/>
        <v>620</v>
      </c>
      <c r="AB308" s="17" t="e">
        <f t="shared" si="51"/>
        <v>#DIV/0!</v>
      </c>
    </row>
    <row r="309" spans="2:28" x14ac:dyDescent="0.2">
      <c r="B309" s="10" t="s">
        <v>62</v>
      </c>
      <c r="C309" s="11">
        <v>2</v>
      </c>
      <c r="D309" s="11">
        <v>10</v>
      </c>
      <c r="E309" s="11"/>
      <c r="F309" s="10" t="s">
        <v>140</v>
      </c>
      <c r="G309" s="10"/>
      <c r="H309" s="11">
        <v>1</v>
      </c>
      <c r="I309" s="12">
        <v>18</v>
      </c>
      <c r="J309" s="13">
        <v>10</v>
      </c>
      <c r="K309" s="12"/>
      <c r="L309" s="106">
        <v>48</v>
      </c>
      <c r="M309" s="107">
        <v>10</v>
      </c>
      <c r="N309" s="106"/>
      <c r="O309" s="12"/>
      <c r="P309" s="13"/>
      <c r="Q309" s="12"/>
      <c r="R309" s="106"/>
      <c r="S309" s="107"/>
      <c r="T309" s="106"/>
      <c r="U309" s="35"/>
      <c r="V309" s="35"/>
      <c r="W309" s="35"/>
      <c r="X309" s="20"/>
      <c r="Y309" s="11"/>
      <c r="Z309" s="11"/>
      <c r="AA309" s="38">
        <f>SUM(I309*J309)+(L309*M309)+(O309*P309)+(R309*S309)+(U309*V309)+(X309*Y309)</f>
        <v>660</v>
      </c>
      <c r="AB309" s="17" t="e">
        <f>AVERAGE(K309,N309,Q309,T309,W309,Z309)</f>
        <v>#DIV/0!</v>
      </c>
    </row>
    <row r="310" spans="2:28" x14ac:dyDescent="0.2">
      <c r="B310" s="10" t="s">
        <v>63</v>
      </c>
      <c r="C310" s="10">
        <v>3</v>
      </c>
      <c r="D310" s="10">
        <v>8</v>
      </c>
      <c r="E310" s="10"/>
      <c r="F310" s="10" t="s">
        <v>140</v>
      </c>
      <c r="G310" s="10"/>
      <c r="H310" s="10">
        <v>2</v>
      </c>
      <c r="I310" s="12"/>
      <c r="J310" s="13"/>
      <c r="K310" s="12"/>
      <c r="L310" s="106"/>
      <c r="M310" s="107"/>
      <c r="N310" s="106"/>
      <c r="O310" s="12"/>
      <c r="P310" s="13"/>
      <c r="Q310" s="12"/>
      <c r="R310" s="106"/>
      <c r="S310" s="107"/>
      <c r="T310" s="106"/>
      <c r="U310" s="35"/>
      <c r="V310" s="35"/>
      <c r="W310" s="35"/>
      <c r="X310" s="20"/>
      <c r="Y310" s="11"/>
      <c r="Z310" s="11"/>
      <c r="AA310" s="38">
        <f>SUM(I310*J310)+(L310*M310)+(O310*P310)+(R310*S310)+(U310*V310)+(X310*Y310)</f>
        <v>0</v>
      </c>
      <c r="AB310" s="17" t="e">
        <f>AVERAGE(K310,N310,Q310,T310,W310,Z310)</f>
        <v>#DIV/0!</v>
      </c>
    </row>
    <row r="311" spans="2:28" x14ac:dyDescent="0.2">
      <c r="B311" s="85" t="s">
        <v>64</v>
      </c>
      <c r="C311" s="11">
        <v>4</v>
      </c>
      <c r="D311" s="11">
        <v>8</v>
      </c>
      <c r="E311" s="11"/>
      <c r="F311" s="10" t="s">
        <v>140</v>
      </c>
      <c r="G311" s="10"/>
      <c r="H311" s="11">
        <v>1</v>
      </c>
      <c r="I311" s="12"/>
      <c r="J311" s="13"/>
      <c r="K311" s="12"/>
      <c r="L311" s="106"/>
      <c r="M311" s="107"/>
      <c r="N311" s="106"/>
      <c r="O311" s="12"/>
      <c r="P311" s="13"/>
      <c r="Q311" s="12"/>
      <c r="R311" s="106"/>
      <c r="S311" s="107"/>
      <c r="T311" s="106"/>
      <c r="U311" s="35"/>
      <c r="V311" s="35"/>
      <c r="W311" s="35"/>
      <c r="X311" s="20"/>
      <c r="Y311" s="11"/>
      <c r="Z311" s="11"/>
      <c r="AA311" s="38">
        <f>SUM(I311*J311)+(L311*M311)+(O311*P311)+(R311*S311)+(U311*V311)+(X311*Y311)</f>
        <v>0</v>
      </c>
      <c r="AB311" s="17" t="e">
        <f>AVERAGE(K311,N311,Q311,T311,W311,Z311)</f>
        <v>#DIV/0!</v>
      </c>
    </row>
    <row r="312" spans="2:28" hidden="1" x14ac:dyDescent="0.2">
      <c r="B312" s="10" t="s">
        <v>137</v>
      </c>
      <c r="C312" s="146" t="s">
        <v>141</v>
      </c>
      <c r="D312" s="88">
        <v>2</v>
      </c>
      <c r="E312" s="102">
        <v>0.04</v>
      </c>
      <c r="F312" s="92" t="s">
        <v>168</v>
      </c>
      <c r="G312" s="88"/>
      <c r="H312" s="88">
        <v>9</v>
      </c>
      <c r="I312" s="12"/>
      <c r="J312" s="13"/>
      <c r="K312" s="12"/>
      <c r="L312" s="106"/>
      <c r="M312" s="107"/>
      <c r="N312" s="106"/>
      <c r="O312" s="12"/>
      <c r="P312" s="13"/>
      <c r="Q312" s="12"/>
      <c r="R312" s="106"/>
      <c r="S312" s="107"/>
      <c r="T312" s="106"/>
      <c r="U312" s="35"/>
      <c r="V312" s="35"/>
      <c r="W312" s="35"/>
      <c r="X312" s="20"/>
      <c r="Y312" s="11"/>
      <c r="Z312" s="11"/>
      <c r="AA312" s="38">
        <f>SUM(I312*J312)+(L312*M312)+(O312*P312)+(R312*S312)+(U312*V312)+(X312*Y312)</f>
        <v>0</v>
      </c>
      <c r="AB312" s="17" t="e">
        <f>AVERAGE(K312,N312,Q312,T312,W312,Z312)</f>
        <v>#DIV/0!</v>
      </c>
    </row>
    <row r="313" spans="2:28" hidden="1" x14ac:dyDescent="0.2">
      <c r="B313" s="10" t="s">
        <v>139</v>
      </c>
      <c r="C313" s="146" t="s">
        <v>169</v>
      </c>
      <c r="D313" s="88">
        <v>2</v>
      </c>
      <c r="E313" s="102">
        <v>0.08</v>
      </c>
      <c r="F313" s="92" t="s">
        <v>168</v>
      </c>
      <c r="G313" s="88"/>
      <c r="H313" s="88">
        <v>10</v>
      </c>
      <c r="I313" s="12"/>
      <c r="J313" s="13"/>
      <c r="K313" s="12"/>
      <c r="L313" s="106"/>
      <c r="M313" s="107"/>
      <c r="N313" s="106"/>
      <c r="O313" s="12"/>
      <c r="P313" s="13"/>
      <c r="Q313" s="12"/>
      <c r="R313" s="106"/>
      <c r="S313" s="107"/>
      <c r="T313" s="106"/>
      <c r="U313" s="35"/>
      <c r="V313" s="35"/>
      <c r="W313" s="35"/>
      <c r="X313" s="20"/>
      <c r="Y313" s="11"/>
      <c r="Z313" s="11"/>
      <c r="AA313" s="39">
        <f t="shared" si="50"/>
        <v>0</v>
      </c>
      <c r="AB313" s="17" t="e">
        <f t="shared" si="51"/>
        <v>#DIV/0!</v>
      </c>
    </row>
    <row r="314" spans="2:28" x14ac:dyDescent="0.2">
      <c r="B314" s="214" t="str">
        <f>'Exercise Selection'!A17</f>
        <v>(B1) Overhead Press</v>
      </c>
      <c r="C314" s="215"/>
      <c r="D314" s="215"/>
      <c r="E314" s="215"/>
      <c r="F314" s="215"/>
      <c r="G314" s="215"/>
      <c r="H314" s="215"/>
      <c r="I314" s="202" t="s">
        <v>119</v>
      </c>
      <c r="J314" s="203"/>
      <c r="K314" s="203"/>
      <c r="L314" s="202" t="s">
        <v>120</v>
      </c>
      <c r="M314" s="203"/>
      <c r="N314" s="203"/>
      <c r="O314" s="202" t="s">
        <v>121</v>
      </c>
      <c r="P314" s="203"/>
      <c r="Q314" s="203"/>
      <c r="R314" s="202" t="s">
        <v>122</v>
      </c>
      <c r="S314" s="203"/>
      <c r="T314" s="203"/>
      <c r="U314" s="202" t="s">
        <v>123</v>
      </c>
      <c r="V314" s="203"/>
      <c r="W314" s="203"/>
      <c r="X314" s="202" t="s">
        <v>124</v>
      </c>
      <c r="Y314" s="203"/>
      <c r="Z314" s="203"/>
      <c r="AA314" s="202" t="s">
        <v>126</v>
      </c>
      <c r="AB314" s="212" t="s">
        <v>127</v>
      </c>
    </row>
    <row r="315" spans="2:28" x14ac:dyDescent="0.2">
      <c r="B315" s="202"/>
      <c r="C315" s="203"/>
      <c r="D315" s="203"/>
      <c r="E315" s="203"/>
      <c r="F315" s="203"/>
      <c r="G315" s="203"/>
      <c r="H315" s="203"/>
      <c r="I315" s="148"/>
      <c r="J315" s="148"/>
      <c r="K315" s="148"/>
      <c r="L315" s="148"/>
      <c r="M315" s="148"/>
      <c r="N315" s="148"/>
      <c r="O315" s="148"/>
      <c r="P315" s="148"/>
      <c r="Q315" s="148"/>
      <c r="R315" s="148"/>
      <c r="S315" s="148"/>
      <c r="T315" s="148"/>
      <c r="U315" s="148"/>
      <c r="V315" s="148"/>
      <c r="W315" s="148"/>
      <c r="X315" s="148"/>
      <c r="Y315" s="148"/>
      <c r="Z315" s="148"/>
      <c r="AA315" s="203"/>
      <c r="AB315" s="213"/>
    </row>
    <row r="316" spans="2:28" s="111" customFormat="1" x14ac:dyDescent="0.2">
      <c r="B316" s="89" t="s">
        <v>128</v>
      </c>
      <c r="C316" s="90" t="s">
        <v>129</v>
      </c>
      <c r="D316" s="90" t="s">
        <v>38</v>
      </c>
      <c r="E316" s="90" t="s">
        <v>130</v>
      </c>
      <c r="F316" s="90" t="s">
        <v>131</v>
      </c>
      <c r="G316" s="91" t="s">
        <v>132</v>
      </c>
      <c r="H316" s="81" t="s">
        <v>133</v>
      </c>
      <c r="I316" s="83" t="s">
        <v>134</v>
      </c>
      <c r="J316" s="83" t="s">
        <v>135</v>
      </c>
      <c r="K316" s="83" t="s">
        <v>133</v>
      </c>
      <c r="L316" s="83" t="s">
        <v>134</v>
      </c>
      <c r="M316" s="83" t="s">
        <v>135</v>
      </c>
      <c r="N316" s="83" t="s">
        <v>133</v>
      </c>
      <c r="O316" s="83" t="s">
        <v>134</v>
      </c>
      <c r="P316" s="83" t="s">
        <v>135</v>
      </c>
      <c r="Q316" s="83" t="s">
        <v>133</v>
      </c>
      <c r="R316" s="83" t="s">
        <v>134</v>
      </c>
      <c r="S316" s="83" t="s">
        <v>135</v>
      </c>
      <c r="T316" s="83" t="s">
        <v>133</v>
      </c>
      <c r="U316" s="83" t="s">
        <v>134</v>
      </c>
      <c r="V316" s="83" t="s">
        <v>135</v>
      </c>
      <c r="W316" s="83" t="s">
        <v>133</v>
      </c>
      <c r="X316" s="83" t="s">
        <v>134</v>
      </c>
      <c r="Y316" s="83" t="s">
        <v>135</v>
      </c>
      <c r="Z316" s="84" t="s">
        <v>133</v>
      </c>
      <c r="AA316" s="203"/>
      <c r="AB316" s="213"/>
    </row>
    <row r="317" spans="2:28" x14ac:dyDescent="0.2">
      <c r="B317" s="85" t="s">
        <v>59</v>
      </c>
      <c r="C317" s="10">
        <v>2</v>
      </c>
      <c r="D317" s="10">
        <v>10</v>
      </c>
      <c r="E317" s="10"/>
      <c r="F317" s="10" t="s">
        <v>140</v>
      </c>
      <c r="G317" s="10"/>
      <c r="H317" s="10">
        <v>2</v>
      </c>
      <c r="I317" s="12">
        <v>20</v>
      </c>
      <c r="J317" s="13">
        <v>10</v>
      </c>
      <c r="K317" s="12"/>
      <c r="L317" s="106">
        <v>25</v>
      </c>
      <c r="M317" s="107">
        <v>10</v>
      </c>
      <c r="N317" s="106"/>
      <c r="O317" s="12"/>
      <c r="P317" s="13"/>
      <c r="Q317" s="12"/>
      <c r="R317" s="106"/>
      <c r="S317" s="107"/>
      <c r="T317" s="106"/>
      <c r="U317" s="33"/>
      <c r="V317" s="34"/>
      <c r="W317" s="33"/>
      <c r="X317" s="14"/>
      <c r="Y317" s="10"/>
      <c r="Z317" s="10"/>
      <c r="AA317" s="37">
        <f>SUM(I317*J317)+(L317*M317)+(O317*P317)+(R317*S317)+(U317*V317)+(X317*Y317)</f>
        <v>450</v>
      </c>
      <c r="AB317" s="17" t="e">
        <f t="shared" ref="AB317:AB324" si="52">AVERAGE(K317,N317,Q317,T317,W317,Z317)</f>
        <v>#DIV/0!</v>
      </c>
    </row>
    <row r="318" spans="2:28" x14ac:dyDescent="0.2">
      <c r="B318" s="85" t="s">
        <v>60</v>
      </c>
      <c r="C318" s="10">
        <v>3</v>
      </c>
      <c r="D318" s="10">
        <v>10</v>
      </c>
      <c r="E318" s="10"/>
      <c r="F318" s="10" t="s">
        <v>140</v>
      </c>
      <c r="G318" s="10"/>
      <c r="H318" s="10">
        <v>1</v>
      </c>
      <c r="I318" s="12">
        <v>25</v>
      </c>
      <c r="J318" s="13">
        <v>10</v>
      </c>
      <c r="K318" s="12"/>
      <c r="L318" s="106">
        <v>25</v>
      </c>
      <c r="M318" s="107">
        <v>10</v>
      </c>
      <c r="N318" s="106"/>
      <c r="O318" s="12">
        <v>30</v>
      </c>
      <c r="P318" s="13">
        <v>10</v>
      </c>
      <c r="Q318" s="12"/>
      <c r="R318" s="106"/>
      <c r="S318" s="107"/>
      <c r="T318" s="106"/>
      <c r="U318" s="33"/>
      <c r="V318" s="33"/>
      <c r="W318" s="33"/>
      <c r="X318" s="14"/>
      <c r="Y318" s="10"/>
      <c r="Z318" s="10"/>
      <c r="AA318" s="38">
        <f t="shared" ref="AA318:AA324" si="53">SUM(I318*J318)+(L318*M318)+(O318*P318)+(R318*S318)+(U318*V318)+(X318*Y318)</f>
        <v>800</v>
      </c>
      <c r="AB318" s="17" t="e">
        <f t="shared" si="52"/>
        <v>#DIV/0!</v>
      </c>
    </row>
    <row r="319" spans="2:28" x14ac:dyDescent="0.2">
      <c r="B319" s="85" t="s">
        <v>61</v>
      </c>
      <c r="C319" s="10">
        <v>4</v>
      </c>
      <c r="D319" s="10">
        <v>8</v>
      </c>
      <c r="E319" s="10"/>
      <c r="F319" s="10" t="s">
        <v>140</v>
      </c>
      <c r="G319" s="10"/>
      <c r="H319" s="10">
        <v>2</v>
      </c>
      <c r="I319" s="12">
        <v>30</v>
      </c>
      <c r="J319" s="13">
        <v>8</v>
      </c>
      <c r="K319" s="12"/>
      <c r="L319" s="106">
        <v>30</v>
      </c>
      <c r="M319" s="107">
        <v>8</v>
      </c>
      <c r="N319" s="106"/>
      <c r="O319" s="12">
        <v>30</v>
      </c>
      <c r="P319" s="13">
        <v>8</v>
      </c>
      <c r="Q319" s="12"/>
      <c r="R319" s="106">
        <v>30</v>
      </c>
      <c r="S319" s="107">
        <v>8</v>
      </c>
      <c r="T319" s="106"/>
      <c r="U319" s="33"/>
      <c r="V319" s="33"/>
      <c r="W319" s="33"/>
      <c r="X319" s="14"/>
      <c r="Y319" s="10"/>
      <c r="Z319" s="10"/>
      <c r="AA319" s="38">
        <f t="shared" si="53"/>
        <v>960</v>
      </c>
      <c r="AB319" s="17" t="e">
        <f t="shared" si="52"/>
        <v>#DIV/0!</v>
      </c>
    </row>
    <row r="320" spans="2:28" x14ac:dyDescent="0.2">
      <c r="B320" s="85" t="s">
        <v>62</v>
      </c>
      <c r="C320" s="11">
        <v>2</v>
      </c>
      <c r="D320" s="11">
        <v>8</v>
      </c>
      <c r="E320" s="11"/>
      <c r="F320" s="10" t="s">
        <v>140</v>
      </c>
      <c r="G320" s="10"/>
      <c r="H320" s="11">
        <v>1</v>
      </c>
      <c r="I320" s="12">
        <v>30</v>
      </c>
      <c r="J320" s="13">
        <v>10</v>
      </c>
      <c r="K320" s="12"/>
      <c r="L320" s="106">
        <v>30</v>
      </c>
      <c r="M320" s="107">
        <v>8</v>
      </c>
      <c r="N320" s="106"/>
      <c r="O320" s="12"/>
      <c r="P320" s="13"/>
      <c r="Q320" s="12"/>
      <c r="R320" s="106"/>
      <c r="S320" s="107"/>
      <c r="T320" s="106"/>
      <c r="U320" s="35"/>
      <c r="V320" s="35"/>
      <c r="W320" s="35"/>
      <c r="X320" s="20"/>
      <c r="Y320" s="11"/>
      <c r="Z320" s="11"/>
      <c r="AA320" s="38">
        <f>SUM(I320*J320)+(L320*M320)+(O320*P320)+(R320*S320)+(U320*V320)+(X320*Y320)</f>
        <v>540</v>
      </c>
      <c r="AB320" s="17" t="e">
        <f t="shared" si="52"/>
        <v>#DIV/0!</v>
      </c>
    </row>
    <row r="321" spans="2:28" x14ac:dyDescent="0.2">
      <c r="B321" s="85" t="s">
        <v>63</v>
      </c>
      <c r="C321" s="10">
        <v>3</v>
      </c>
      <c r="D321" s="10">
        <v>6</v>
      </c>
      <c r="E321" s="10"/>
      <c r="F321" s="10" t="s">
        <v>140</v>
      </c>
      <c r="G321" s="10"/>
      <c r="H321" s="10">
        <v>2</v>
      </c>
      <c r="I321" s="12"/>
      <c r="J321" s="13"/>
      <c r="K321" s="12"/>
      <c r="L321" s="106"/>
      <c r="M321" s="107"/>
      <c r="N321" s="106"/>
      <c r="O321" s="12"/>
      <c r="P321" s="13"/>
      <c r="Q321" s="12"/>
      <c r="R321" s="106"/>
      <c r="S321" s="107"/>
      <c r="T321" s="106"/>
      <c r="U321" s="35"/>
      <c r="V321" s="35"/>
      <c r="W321" s="35"/>
      <c r="X321" s="20"/>
      <c r="Y321" s="11"/>
      <c r="Z321" s="11"/>
      <c r="AA321" s="38">
        <f>SUM(I321*J321)+(L321*M321)+(O321*P321)+(R321*S321)+(U321*V321)+(X321*Y321)</f>
        <v>0</v>
      </c>
      <c r="AB321" s="17" t="e">
        <f t="shared" si="52"/>
        <v>#DIV/0!</v>
      </c>
    </row>
    <row r="322" spans="2:28" x14ac:dyDescent="0.2">
      <c r="B322" s="10" t="s">
        <v>64</v>
      </c>
      <c r="C322" s="11">
        <v>4</v>
      </c>
      <c r="D322" s="11">
        <v>6</v>
      </c>
      <c r="E322" s="11"/>
      <c r="F322" s="10" t="s">
        <v>140</v>
      </c>
      <c r="G322" s="10"/>
      <c r="H322" s="11">
        <v>1</v>
      </c>
      <c r="I322" s="12"/>
      <c r="J322" s="13"/>
      <c r="K322" s="12"/>
      <c r="L322" s="106"/>
      <c r="M322" s="107"/>
      <c r="N322" s="106"/>
      <c r="O322" s="12"/>
      <c r="P322" s="13"/>
      <c r="Q322" s="12"/>
      <c r="R322" s="106"/>
      <c r="S322" s="107"/>
      <c r="T322" s="106"/>
      <c r="U322" s="35"/>
      <c r="V322" s="35"/>
      <c r="W322" s="35"/>
      <c r="X322" s="20"/>
      <c r="Y322" s="11"/>
      <c r="Z322" s="11"/>
      <c r="AA322" s="38">
        <f>SUM(I322*J322)+(L322*M322)+(O322*P322)+(R322*S322)+(U322*V322)+(X322*Y322)</f>
        <v>0</v>
      </c>
      <c r="AB322" s="17" t="e">
        <f t="shared" si="52"/>
        <v>#DIV/0!</v>
      </c>
    </row>
    <row r="323" spans="2:28" hidden="1" x14ac:dyDescent="0.2">
      <c r="B323" s="10" t="s">
        <v>137</v>
      </c>
      <c r="C323" s="89">
        <v>1</v>
      </c>
      <c r="D323" s="88">
        <v>2</v>
      </c>
      <c r="E323" s="102"/>
      <c r="F323" s="92" t="s">
        <v>168</v>
      </c>
      <c r="G323" s="88"/>
      <c r="H323" s="88">
        <v>9.5</v>
      </c>
      <c r="I323" s="12"/>
      <c r="J323" s="13"/>
      <c r="K323" s="12"/>
      <c r="L323" s="106"/>
      <c r="M323" s="107"/>
      <c r="N323" s="106"/>
      <c r="O323" s="12"/>
      <c r="P323" s="13"/>
      <c r="Q323" s="12"/>
      <c r="R323" s="106"/>
      <c r="S323" s="107"/>
      <c r="T323" s="106"/>
      <c r="U323" s="35"/>
      <c r="V323" s="35"/>
      <c r="W323" s="35"/>
      <c r="X323" s="20"/>
      <c r="Y323" s="11"/>
      <c r="Z323" s="11"/>
      <c r="AA323" s="38">
        <f>SUM(I323*J323)+(L323*M323)+(O323*P323)+(R323*S323)+(U323*V323)+(X323*Y323)</f>
        <v>0</v>
      </c>
      <c r="AB323" s="17" t="e">
        <f t="shared" si="52"/>
        <v>#DIV/0!</v>
      </c>
    </row>
    <row r="324" spans="2:28" hidden="1" x14ac:dyDescent="0.2">
      <c r="B324" s="10" t="s">
        <v>139</v>
      </c>
      <c r="C324" s="140">
        <v>1</v>
      </c>
      <c r="D324" s="88">
        <v>2</v>
      </c>
      <c r="E324" s="102"/>
      <c r="F324" s="92" t="s">
        <v>168</v>
      </c>
      <c r="G324" s="88"/>
      <c r="H324" s="88">
        <v>9.5</v>
      </c>
      <c r="I324" s="12"/>
      <c r="J324" s="13"/>
      <c r="K324" s="12"/>
      <c r="L324" s="106"/>
      <c r="M324" s="107"/>
      <c r="N324" s="106"/>
      <c r="O324" s="12"/>
      <c r="P324" s="13"/>
      <c r="Q324" s="12"/>
      <c r="R324" s="106"/>
      <c r="S324" s="107"/>
      <c r="T324" s="106"/>
      <c r="U324" s="35"/>
      <c r="V324" s="35"/>
      <c r="W324" s="35"/>
      <c r="X324" s="20"/>
      <c r="Y324" s="11"/>
      <c r="Z324" s="11"/>
      <c r="AA324" s="39">
        <f t="shared" si="53"/>
        <v>0</v>
      </c>
      <c r="AB324" s="17" t="e">
        <f t="shared" si="52"/>
        <v>#DIV/0!</v>
      </c>
    </row>
    <row r="325" spans="2:28" x14ac:dyDescent="0.2">
      <c r="B325" s="214" t="str">
        <f>'Exercise Selection'!A18</f>
        <v>(B2) Lat Pulldown</v>
      </c>
      <c r="C325" s="215"/>
      <c r="D325" s="215"/>
      <c r="E325" s="215"/>
      <c r="F325" s="215"/>
      <c r="G325" s="215"/>
      <c r="H325" s="215"/>
      <c r="I325" s="202" t="s">
        <v>119</v>
      </c>
      <c r="J325" s="203"/>
      <c r="K325" s="203"/>
      <c r="L325" s="202" t="s">
        <v>120</v>
      </c>
      <c r="M325" s="203"/>
      <c r="N325" s="203"/>
      <c r="O325" s="202" t="s">
        <v>121</v>
      </c>
      <c r="P325" s="203"/>
      <c r="Q325" s="203"/>
      <c r="R325" s="202" t="s">
        <v>122</v>
      </c>
      <c r="S325" s="203"/>
      <c r="T325" s="203"/>
      <c r="U325" s="202" t="s">
        <v>123</v>
      </c>
      <c r="V325" s="203"/>
      <c r="W325" s="203"/>
      <c r="X325" s="202" t="s">
        <v>124</v>
      </c>
      <c r="Y325" s="203"/>
      <c r="Z325" s="203"/>
      <c r="AA325" s="202" t="s">
        <v>126</v>
      </c>
      <c r="AB325" s="212" t="s">
        <v>127</v>
      </c>
    </row>
    <row r="326" spans="2:28" x14ac:dyDescent="0.2">
      <c r="B326" s="202"/>
      <c r="C326" s="203"/>
      <c r="D326" s="203"/>
      <c r="E326" s="203"/>
      <c r="F326" s="203"/>
      <c r="G326" s="203"/>
      <c r="H326" s="203"/>
      <c r="I326" s="148"/>
      <c r="J326" s="148"/>
      <c r="K326" s="148"/>
      <c r="L326" s="148"/>
      <c r="M326" s="148"/>
      <c r="N326" s="148"/>
      <c r="O326" s="148"/>
      <c r="P326" s="148"/>
      <c r="Q326" s="148"/>
      <c r="R326" s="148"/>
      <c r="S326" s="148"/>
      <c r="T326" s="148"/>
      <c r="U326" s="148"/>
      <c r="V326" s="148"/>
      <c r="W326" s="148"/>
      <c r="X326" s="148"/>
      <c r="Y326" s="148"/>
      <c r="Z326" s="148"/>
      <c r="AA326" s="203"/>
      <c r="AB326" s="213"/>
    </row>
    <row r="327" spans="2:28" s="111" customFormat="1" x14ac:dyDescent="0.2">
      <c r="B327" s="89" t="s">
        <v>128</v>
      </c>
      <c r="C327" s="90" t="s">
        <v>129</v>
      </c>
      <c r="D327" s="90" t="s">
        <v>38</v>
      </c>
      <c r="E327" s="90" t="s">
        <v>130</v>
      </c>
      <c r="F327" s="90" t="s">
        <v>131</v>
      </c>
      <c r="G327" s="91" t="s">
        <v>132</v>
      </c>
      <c r="H327" s="81" t="s">
        <v>133</v>
      </c>
      <c r="I327" s="83" t="s">
        <v>134</v>
      </c>
      <c r="J327" s="83" t="s">
        <v>135</v>
      </c>
      <c r="K327" s="83" t="s">
        <v>133</v>
      </c>
      <c r="L327" s="83" t="s">
        <v>134</v>
      </c>
      <c r="M327" s="83" t="s">
        <v>135</v>
      </c>
      <c r="N327" s="83" t="s">
        <v>133</v>
      </c>
      <c r="O327" s="83" t="s">
        <v>134</v>
      </c>
      <c r="P327" s="83" t="s">
        <v>135</v>
      </c>
      <c r="Q327" s="83" t="s">
        <v>133</v>
      </c>
      <c r="R327" s="83" t="s">
        <v>134</v>
      </c>
      <c r="S327" s="83" t="s">
        <v>135</v>
      </c>
      <c r="T327" s="83" t="s">
        <v>133</v>
      </c>
      <c r="U327" s="83" t="s">
        <v>134</v>
      </c>
      <c r="V327" s="83" t="s">
        <v>135</v>
      </c>
      <c r="W327" s="83" t="s">
        <v>133</v>
      </c>
      <c r="X327" s="83" t="s">
        <v>134</v>
      </c>
      <c r="Y327" s="83" t="s">
        <v>135</v>
      </c>
      <c r="Z327" s="84" t="s">
        <v>133</v>
      </c>
      <c r="AA327" s="203"/>
      <c r="AB327" s="213"/>
    </row>
    <row r="328" spans="2:28" x14ac:dyDescent="0.2">
      <c r="B328" s="10" t="s">
        <v>59</v>
      </c>
      <c r="C328" s="10">
        <v>2</v>
      </c>
      <c r="D328" s="10">
        <v>12</v>
      </c>
      <c r="E328" s="10"/>
      <c r="F328" s="10" t="s">
        <v>140</v>
      </c>
      <c r="G328" s="10"/>
      <c r="H328" s="10">
        <v>2</v>
      </c>
      <c r="I328" s="12">
        <v>39</v>
      </c>
      <c r="J328" s="13">
        <v>12</v>
      </c>
      <c r="K328" s="12"/>
      <c r="L328" s="106">
        <v>45</v>
      </c>
      <c r="M328" s="107">
        <v>12</v>
      </c>
      <c r="N328" s="106"/>
      <c r="O328" s="12"/>
      <c r="P328" s="13"/>
      <c r="Q328" s="12"/>
      <c r="R328" s="106"/>
      <c r="S328" s="107"/>
      <c r="T328" s="106"/>
      <c r="U328" s="33"/>
      <c r="V328" s="34"/>
      <c r="W328" s="33"/>
      <c r="X328" s="14"/>
      <c r="Y328" s="10"/>
      <c r="Z328" s="10"/>
      <c r="AA328" s="37">
        <f>SUM(I328*J328)+(L328*M328)+(O328*P328)+(R328*S328)+(U328*V328)+(X328*Y328)</f>
        <v>1008</v>
      </c>
      <c r="AB328" s="17" t="e">
        <f t="shared" ref="AB328:AB335" si="54">AVERAGE(K328,N328,Q328,T328,W328,Z328)</f>
        <v>#DIV/0!</v>
      </c>
    </row>
    <row r="329" spans="2:28" x14ac:dyDescent="0.2">
      <c r="B329" s="10" t="s">
        <v>60</v>
      </c>
      <c r="C329" s="10">
        <v>3</v>
      </c>
      <c r="D329" s="10">
        <v>12</v>
      </c>
      <c r="E329" s="10"/>
      <c r="F329" s="10" t="s">
        <v>140</v>
      </c>
      <c r="G329" s="10"/>
      <c r="H329" s="10">
        <v>1</v>
      </c>
      <c r="I329" s="12">
        <v>45</v>
      </c>
      <c r="J329" s="13">
        <v>12</v>
      </c>
      <c r="K329" s="12"/>
      <c r="L329" s="106">
        <v>45</v>
      </c>
      <c r="M329" s="107">
        <v>12</v>
      </c>
      <c r="N329" s="106"/>
      <c r="O329" s="12">
        <v>45</v>
      </c>
      <c r="P329" s="13">
        <v>12</v>
      </c>
      <c r="Q329" s="12"/>
      <c r="R329" s="106"/>
      <c r="S329" s="107"/>
      <c r="T329" s="106"/>
      <c r="U329" s="33"/>
      <c r="V329" s="33"/>
      <c r="W329" s="33"/>
      <c r="X329" s="14"/>
      <c r="Y329" s="10"/>
      <c r="Z329" s="10"/>
      <c r="AA329" s="38">
        <f t="shared" ref="AA329:AA335" si="55">SUM(I329*J329)+(L329*M329)+(O329*P329)+(R329*S329)+(U329*V329)+(X329*Y329)</f>
        <v>1620</v>
      </c>
      <c r="AB329" s="17" t="e">
        <f t="shared" si="54"/>
        <v>#DIV/0!</v>
      </c>
    </row>
    <row r="330" spans="2:28" x14ac:dyDescent="0.2">
      <c r="B330" s="10" t="s">
        <v>61</v>
      </c>
      <c r="C330" s="10">
        <v>4</v>
      </c>
      <c r="D330" s="10">
        <v>10</v>
      </c>
      <c r="E330" s="10"/>
      <c r="F330" s="10" t="s">
        <v>140</v>
      </c>
      <c r="G330" s="10"/>
      <c r="H330" s="10">
        <v>2</v>
      </c>
      <c r="I330" s="12">
        <v>45</v>
      </c>
      <c r="J330" s="13">
        <v>10</v>
      </c>
      <c r="K330" s="12"/>
      <c r="L330" s="106">
        <v>45</v>
      </c>
      <c r="M330" s="107">
        <v>10</v>
      </c>
      <c r="N330" s="106"/>
      <c r="O330" s="12">
        <v>45</v>
      </c>
      <c r="P330" s="13">
        <v>10</v>
      </c>
      <c r="Q330" s="12"/>
      <c r="R330" s="106">
        <v>45</v>
      </c>
      <c r="S330" s="107">
        <v>10</v>
      </c>
      <c r="T330" s="106"/>
      <c r="U330" s="33"/>
      <c r="V330" s="33"/>
      <c r="W330" s="33"/>
      <c r="X330" s="14"/>
      <c r="Y330" s="10"/>
      <c r="Z330" s="10"/>
      <c r="AA330" s="38">
        <f t="shared" si="55"/>
        <v>1800</v>
      </c>
      <c r="AB330" s="17" t="e">
        <f t="shared" si="54"/>
        <v>#DIV/0!</v>
      </c>
    </row>
    <row r="331" spans="2:28" x14ac:dyDescent="0.2">
      <c r="B331" s="10" t="s">
        <v>62</v>
      </c>
      <c r="C331" s="11">
        <v>2</v>
      </c>
      <c r="D331" s="11">
        <v>10</v>
      </c>
      <c r="E331" s="11"/>
      <c r="F331" s="10" t="s">
        <v>140</v>
      </c>
      <c r="G331" s="10"/>
      <c r="H331" s="11">
        <v>1</v>
      </c>
      <c r="I331" s="12">
        <v>45</v>
      </c>
      <c r="J331" s="13">
        <v>10</v>
      </c>
      <c r="K331" s="12"/>
      <c r="L331" s="106">
        <v>52</v>
      </c>
      <c r="M331" s="107">
        <v>10</v>
      </c>
      <c r="N331" s="106"/>
      <c r="O331" s="12"/>
      <c r="P331" s="13"/>
      <c r="Q331" s="12"/>
      <c r="R331" s="106"/>
      <c r="S331" s="107"/>
      <c r="T331" s="106"/>
      <c r="U331" s="35"/>
      <c r="V331" s="35"/>
      <c r="W331" s="35"/>
      <c r="X331" s="20"/>
      <c r="Y331" s="11"/>
      <c r="Z331" s="11"/>
      <c r="AA331" s="38">
        <f>SUM(I331*J331)+(L331*M331)+(O331*P331)+(R331*S331)+(U331*V331)+(X331*Y331)</f>
        <v>970</v>
      </c>
      <c r="AB331" s="17" t="e">
        <f>AVERAGE(K331,N331,Q331,T331,W331,Z331)</f>
        <v>#DIV/0!</v>
      </c>
    </row>
    <row r="332" spans="2:28" x14ac:dyDescent="0.2">
      <c r="B332" s="10" t="s">
        <v>63</v>
      </c>
      <c r="C332" s="10">
        <v>3</v>
      </c>
      <c r="D332" s="10">
        <v>8</v>
      </c>
      <c r="E332" s="10"/>
      <c r="F332" s="10" t="s">
        <v>140</v>
      </c>
      <c r="G332" s="10"/>
      <c r="H332" s="10">
        <v>2</v>
      </c>
      <c r="I332" s="12"/>
      <c r="J332" s="13"/>
      <c r="K332" s="12"/>
      <c r="L332" s="106"/>
      <c r="M332" s="107"/>
      <c r="N332" s="106"/>
      <c r="O332" s="12"/>
      <c r="P332" s="13"/>
      <c r="Q332" s="12"/>
      <c r="R332" s="106"/>
      <c r="S332" s="107"/>
      <c r="T332" s="106"/>
      <c r="U332" s="35"/>
      <c r="V332" s="35"/>
      <c r="W332" s="35"/>
      <c r="X332" s="20"/>
      <c r="Y332" s="11"/>
      <c r="Z332" s="11"/>
      <c r="AA332" s="38">
        <f>SUM(I332*J332)+(L332*M332)+(O332*P332)+(R332*S332)+(U332*V332)+(X332*Y332)</f>
        <v>0</v>
      </c>
      <c r="AB332" s="17" t="e">
        <f>AVERAGE(K332,N332,Q332,T332,W332,Z332)</f>
        <v>#DIV/0!</v>
      </c>
    </row>
    <row r="333" spans="2:28" x14ac:dyDescent="0.2">
      <c r="B333" s="10" t="s">
        <v>64</v>
      </c>
      <c r="C333" s="11">
        <v>4</v>
      </c>
      <c r="D333" s="11">
        <v>8</v>
      </c>
      <c r="E333" s="11"/>
      <c r="F333" s="10" t="s">
        <v>140</v>
      </c>
      <c r="G333" s="10"/>
      <c r="H333" s="11">
        <v>1</v>
      </c>
      <c r="I333" s="12"/>
      <c r="J333" s="13"/>
      <c r="K333" s="12"/>
      <c r="L333" s="106"/>
      <c r="M333" s="107"/>
      <c r="N333" s="106"/>
      <c r="O333" s="12"/>
      <c r="P333" s="13"/>
      <c r="Q333" s="12"/>
      <c r="R333" s="106"/>
      <c r="S333" s="107"/>
      <c r="T333" s="106"/>
      <c r="U333" s="35"/>
      <c r="V333" s="35"/>
      <c r="W333" s="35"/>
      <c r="X333" s="20"/>
      <c r="Y333" s="11"/>
      <c r="Z333" s="11"/>
      <c r="AA333" s="38">
        <f>SUM(I333*J333)+(L333*M333)+(O333*P333)+(R333*S333)+(U333*V333)+(X333*Y333)</f>
        <v>0</v>
      </c>
      <c r="AB333" s="17" t="e">
        <f>AVERAGE(K333,N333,Q333,T333,W333,Z333)</f>
        <v>#DIV/0!</v>
      </c>
    </row>
    <row r="334" spans="2:28" hidden="1" x14ac:dyDescent="0.2">
      <c r="B334" s="10" t="s">
        <v>137</v>
      </c>
      <c r="C334" s="146" t="s">
        <v>141</v>
      </c>
      <c r="D334" s="88">
        <v>2</v>
      </c>
      <c r="E334" s="102">
        <v>0.04</v>
      </c>
      <c r="F334" s="92" t="s">
        <v>168</v>
      </c>
      <c r="G334" s="88"/>
      <c r="H334" s="88">
        <v>9</v>
      </c>
      <c r="I334" s="12"/>
      <c r="J334" s="13"/>
      <c r="K334" s="12"/>
      <c r="L334" s="106"/>
      <c r="M334" s="107"/>
      <c r="N334" s="106"/>
      <c r="O334" s="12"/>
      <c r="P334" s="13"/>
      <c r="Q334" s="12"/>
      <c r="R334" s="106"/>
      <c r="S334" s="107"/>
      <c r="T334" s="106"/>
      <c r="U334" s="35"/>
      <c r="V334" s="35"/>
      <c r="W334" s="35"/>
      <c r="X334" s="20"/>
      <c r="Y334" s="11"/>
      <c r="Z334" s="11"/>
      <c r="AA334" s="38">
        <f>SUM(I334*J334)+(L334*M334)+(O334*P334)+(R334*S334)+(U334*V334)+(X334*Y334)</f>
        <v>0</v>
      </c>
      <c r="AB334" s="17" t="e">
        <f>AVERAGE(K334,N334,Q334,T334,W334,Z334)</f>
        <v>#DIV/0!</v>
      </c>
    </row>
    <row r="335" spans="2:28" hidden="1" x14ac:dyDescent="0.2">
      <c r="B335" s="10" t="s">
        <v>139</v>
      </c>
      <c r="C335" s="146" t="s">
        <v>169</v>
      </c>
      <c r="D335" s="88">
        <v>2</v>
      </c>
      <c r="E335" s="102">
        <v>0.08</v>
      </c>
      <c r="F335" s="92" t="s">
        <v>168</v>
      </c>
      <c r="G335" s="88"/>
      <c r="H335" s="88">
        <v>10</v>
      </c>
      <c r="I335" s="12"/>
      <c r="J335" s="13"/>
      <c r="K335" s="12"/>
      <c r="L335" s="106"/>
      <c r="M335" s="107"/>
      <c r="N335" s="106"/>
      <c r="O335" s="12"/>
      <c r="P335" s="13"/>
      <c r="Q335" s="12"/>
      <c r="R335" s="106"/>
      <c r="S335" s="107"/>
      <c r="T335" s="106"/>
      <c r="U335" s="35"/>
      <c r="V335" s="35"/>
      <c r="W335" s="35"/>
      <c r="X335" s="20"/>
      <c r="Y335" s="11"/>
      <c r="Z335" s="11"/>
      <c r="AA335" s="39">
        <f t="shared" si="55"/>
        <v>0</v>
      </c>
      <c r="AB335" s="17" t="e">
        <f t="shared" si="54"/>
        <v>#DIV/0!</v>
      </c>
    </row>
    <row r="336" spans="2:28" x14ac:dyDescent="0.2">
      <c r="B336" s="206" t="str">
        <f>'Exercise Selection'!A19</f>
        <v>(C1) Overhead Dumbbell Tricep Extension</v>
      </c>
      <c r="C336" s="207"/>
      <c r="D336" s="207"/>
      <c r="E336" s="207"/>
      <c r="F336" s="207"/>
      <c r="G336" s="207"/>
      <c r="H336" s="207"/>
      <c r="I336" s="202" t="s">
        <v>119</v>
      </c>
      <c r="J336" s="203"/>
      <c r="K336" s="203"/>
      <c r="L336" s="202" t="s">
        <v>120</v>
      </c>
      <c r="M336" s="203"/>
      <c r="N336" s="203"/>
      <c r="O336" s="202" t="s">
        <v>121</v>
      </c>
      <c r="P336" s="203"/>
      <c r="Q336" s="203"/>
      <c r="R336" s="202" t="s">
        <v>122</v>
      </c>
      <c r="S336" s="203"/>
      <c r="T336" s="203"/>
      <c r="U336" s="202" t="s">
        <v>123</v>
      </c>
      <c r="V336" s="203"/>
      <c r="W336" s="203"/>
      <c r="X336" s="202" t="s">
        <v>124</v>
      </c>
      <c r="Y336" s="203"/>
      <c r="Z336" s="203"/>
      <c r="AA336" s="202" t="s">
        <v>126</v>
      </c>
      <c r="AB336" s="212" t="s">
        <v>127</v>
      </c>
    </row>
    <row r="337" spans="2:29" x14ac:dyDescent="0.2">
      <c r="B337" s="202"/>
      <c r="C337" s="203"/>
      <c r="D337" s="203"/>
      <c r="E337" s="203"/>
      <c r="F337" s="203"/>
      <c r="G337" s="203"/>
      <c r="H337" s="203"/>
      <c r="I337" s="148"/>
      <c r="J337" s="148"/>
      <c r="K337" s="148"/>
      <c r="L337" s="148"/>
      <c r="M337" s="148"/>
      <c r="N337" s="148"/>
      <c r="O337" s="148"/>
      <c r="P337" s="148"/>
      <c r="Q337" s="148"/>
      <c r="R337" s="148"/>
      <c r="S337" s="148"/>
      <c r="T337" s="148"/>
      <c r="U337" s="148"/>
      <c r="V337" s="148"/>
      <c r="W337" s="148"/>
      <c r="X337" s="148"/>
      <c r="Y337" s="148"/>
      <c r="Z337" s="148"/>
      <c r="AA337" s="203"/>
      <c r="AB337" s="213"/>
    </row>
    <row r="338" spans="2:29" s="111" customFormat="1" x14ac:dyDescent="0.2">
      <c r="B338" s="89" t="s">
        <v>128</v>
      </c>
      <c r="C338" s="90" t="s">
        <v>129</v>
      </c>
      <c r="D338" s="90" t="s">
        <v>38</v>
      </c>
      <c r="E338" s="90" t="s">
        <v>130</v>
      </c>
      <c r="F338" s="90" t="s">
        <v>131</v>
      </c>
      <c r="G338" s="91" t="s">
        <v>132</v>
      </c>
      <c r="H338" s="81" t="s">
        <v>133</v>
      </c>
      <c r="I338" s="83" t="s">
        <v>134</v>
      </c>
      <c r="J338" s="83" t="s">
        <v>135</v>
      </c>
      <c r="K338" s="83" t="s">
        <v>133</v>
      </c>
      <c r="L338" s="83" t="s">
        <v>134</v>
      </c>
      <c r="M338" s="83" t="s">
        <v>135</v>
      </c>
      <c r="N338" s="83" t="s">
        <v>133</v>
      </c>
      <c r="O338" s="83" t="s">
        <v>134</v>
      </c>
      <c r="P338" s="83" t="s">
        <v>135</v>
      </c>
      <c r="Q338" s="83" t="s">
        <v>133</v>
      </c>
      <c r="R338" s="83" t="s">
        <v>134</v>
      </c>
      <c r="S338" s="83" t="s">
        <v>135</v>
      </c>
      <c r="T338" s="83" t="s">
        <v>133</v>
      </c>
      <c r="U338" s="83" t="s">
        <v>134</v>
      </c>
      <c r="V338" s="83" t="s">
        <v>135</v>
      </c>
      <c r="W338" s="83" t="s">
        <v>133</v>
      </c>
      <c r="X338" s="83" t="s">
        <v>134</v>
      </c>
      <c r="Y338" s="83" t="s">
        <v>135</v>
      </c>
      <c r="Z338" s="84" t="s">
        <v>133</v>
      </c>
      <c r="AA338" s="203"/>
      <c r="AB338" s="213"/>
    </row>
    <row r="339" spans="2:29" x14ac:dyDescent="0.2">
      <c r="B339" s="10" t="s">
        <v>59</v>
      </c>
      <c r="C339" s="10">
        <v>2</v>
      </c>
      <c r="D339" s="10">
        <v>12</v>
      </c>
      <c r="E339" s="10"/>
      <c r="F339" s="10" t="s">
        <v>140</v>
      </c>
      <c r="G339" s="10"/>
      <c r="H339" s="10">
        <v>2</v>
      </c>
      <c r="I339" s="12">
        <v>10</v>
      </c>
      <c r="J339" s="13">
        <v>12</v>
      </c>
      <c r="K339" s="12"/>
      <c r="L339" s="106">
        <v>10</v>
      </c>
      <c r="M339" s="107">
        <v>12</v>
      </c>
      <c r="N339" s="106"/>
      <c r="O339" s="12"/>
      <c r="P339" s="13"/>
      <c r="Q339" s="12"/>
      <c r="R339" s="106"/>
      <c r="S339" s="107"/>
      <c r="T339" s="106"/>
      <c r="U339" s="33"/>
      <c r="V339" s="34"/>
      <c r="W339" s="33"/>
      <c r="X339" s="14"/>
      <c r="Y339" s="10"/>
      <c r="Z339" s="10"/>
      <c r="AA339" s="37">
        <f>SUM(I339*J339)+(L339*M339)+(O339*P339)+(R339*S339)+(U339*V339)+(X339*Y339)</f>
        <v>240</v>
      </c>
      <c r="AB339" s="17" t="e">
        <f t="shared" ref="AB339:AB346" si="56">AVERAGE(K339,N339,Q339,T339,W339,Z339)</f>
        <v>#DIV/0!</v>
      </c>
    </row>
    <row r="340" spans="2:29" x14ac:dyDescent="0.2">
      <c r="B340" s="10" t="s">
        <v>60</v>
      </c>
      <c r="C340" s="10">
        <v>3</v>
      </c>
      <c r="D340" s="10">
        <v>12</v>
      </c>
      <c r="E340" s="10"/>
      <c r="F340" s="10" t="s">
        <v>140</v>
      </c>
      <c r="G340" s="10"/>
      <c r="H340" s="10">
        <v>1</v>
      </c>
      <c r="I340" s="12">
        <v>10</v>
      </c>
      <c r="J340" s="13">
        <v>12</v>
      </c>
      <c r="K340" s="12"/>
      <c r="L340" s="106">
        <v>12.5</v>
      </c>
      <c r="M340" s="107">
        <v>12</v>
      </c>
      <c r="N340" s="106"/>
      <c r="O340" s="12">
        <v>12.5</v>
      </c>
      <c r="P340" s="13">
        <v>12</v>
      </c>
      <c r="Q340" s="12"/>
      <c r="R340" s="106"/>
      <c r="S340" s="107"/>
      <c r="T340" s="106"/>
      <c r="U340" s="33"/>
      <c r="V340" s="33"/>
      <c r="W340" s="33"/>
      <c r="X340" s="14"/>
      <c r="Y340" s="10"/>
      <c r="Z340" s="10"/>
      <c r="AA340" s="38">
        <f t="shared" ref="AA340:AA346" si="57">SUM(I340*J340)+(L340*M340)+(O340*P340)+(R340*S340)+(U340*V340)+(X340*Y340)</f>
        <v>420</v>
      </c>
      <c r="AB340" s="17" t="e">
        <f t="shared" si="56"/>
        <v>#DIV/0!</v>
      </c>
      <c r="AC340" s="17" t="e">
        <f>AVERAGE(L243,O243,R243,U243,X243,AA243)</f>
        <v>#VALUE!</v>
      </c>
    </row>
    <row r="341" spans="2:29" x14ac:dyDescent="0.2">
      <c r="B341" s="10" t="s">
        <v>61</v>
      </c>
      <c r="C341" s="10">
        <v>4</v>
      </c>
      <c r="D341" s="10">
        <v>10</v>
      </c>
      <c r="E341" s="10"/>
      <c r="F341" s="10" t="s">
        <v>140</v>
      </c>
      <c r="G341" s="10"/>
      <c r="H341" s="10">
        <v>2</v>
      </c>
      <c r="I341" s="12">
        <v>12.5</v>
      </c>
      <c r="J341" s="13">
        <v>10</v>
      </c>
      <c r="K341" s="12"/>
      <c r="L341" s="106">
        <v>12.5</v>
      </c>
      <c r="M341" s="107">
        <v>10</v>
      </c>
      <c r="N341" s="106"/>
      <c r="O341" s="12">
        <v>12.5</v>
      </c>
      <c r="P341" s="13">
        <v>10</v>
      </c>
      <c r="Q341" s="12"/>
      <c r="R341" s="106">
        <v>12.5</v>
      </c>
      <c r="S341" s="107">
        <v>10</v>
      </c>
      <c r="T341" s="106"/>
      <c r="U341" s="33"/>
      <c r="V341" s="33"/>
      <c r="W341" s="33"/>
      <c r="X341" s="14"/>
      <c r="Y341" s="10"/>
      <c r="Z341" s="10"/>
      <c r="AA341" s="38">
        <f t="shared" si="57"/>
        <v>500</v>
      </c>
      <c r="AB341" s="17" t="e">
        <f t="shared" si="56"/>
        <v>#DIV/0!</v>
      </c>
    </row>
    <row r="342" spans="2:29" x14ac:dyDescent="0.2">
      <c r="B342" s="10" t="s">
        <v>62</v>
      </c>
      <c r="C342" s="11">
        <v>2</v>
      </c>
      <c r="D342" s="11">
        <v>10</v>
      </c>
      <c r="E342" s="11"/>
      <c r="F342" s="10" t="s">
        <v>140</v>
      </c>
      <c r="G342" s="10"/>
      <c r="H342" s="11">
        <v>1</v>
      </c>
      <c r="I342" s="12">
        <v>15</v>
      </c>
      <c r="J342" s="13">
        <v>10</v>
      </c>
      <c r="K342" s="12"/>
      <c r="L342" s="106">
        <v>15</v>
      </c>
      <c r="M342" s="107">
        <v>10</v>
      </c>
      <c r="N342" s="106"/>
      <c r="O342" s="12"/>
      <c r="P342" s="13"/>
      <c r="Q342" s="12"/>
      <c r="R342" s="106"/>
      <c r="S342" s="107"/>
      <c r="T342" s="106"/>
      <c r="U342" s="35"/>
      <c r="V342" s="35"/>
      <c r="W342" s="35"/>
      <c r="X342" s="20"/>
      <c r="Y342" s="11"/>
      <c r="Z342" s="11"/>
      <c r="AA342" s="38">
        <f>SUM(I342*J342)+(L342*M342)+(O342*P342)+(R342*S342)+(U342*V342)+(X342*Y342)</f>
        <v>300</v>
      </c>
      <c r="AB342" s="17" t="e">
        <f>AVERAGE(K342,N342,Q342,T342,W342,Z342)</f>
        <v>#DIV/0!</v>
      </c>
    </row>
    <row r="343" spans="2:29" x14ac:dyDescent="0.2">
      <c r="B343" s="10" t="s">
        <v>63</v>
      </c>
      <c r="C343" s="10">
        <v>3</v>
      </c>
      <c r="D343" s="10">
        <v>8</v>
      </c>
      <c r="E343" s="10"/>
      <c r="F343" s="10" t="s">
        <v>140</v>
      </c>
      <c r="G343" s="10"/>
      <c r="H343" s="10">
        <v>2</v>
      </c>
      <c r="I343" s="12"/>
      <c r="J343" s="13"/>
      <c r="K343" s="12"/>
      <c r="L343" s="106"/>
      <c r="M343" s="107"/>
      <c r="N343" s="106"/>
      <c r="O343" s="12"/>
      <c r="P343" s="13"/>
      <c r="Q343" s="12"/>
      <c r="R343" s="106"/>
      <c r="S343" s="107"/>
      <c r="T343" s="106"/>
      <c r="U343" s="35"/>
      <c r="V343" s="35"/>
      <c r="W343" s="35"/>
      <c r="X343" s="20"/>
      <c r="Y343" s="11"/>
      <c r="Z343" s="11"/>
      <c r="AA343" s="38">
        <f>SUM(I343*J343)+(L343*M343)+(O343*P343)+(R343*S343)+(U343*V343)+(X343*Y343)</f>
        <v>0</v>
      </c>
      <c r="AB343" s="17" t="e">
        <f>AVERAGE(K343,N343,Q343,T343,W343,Z343)</f>
        <v>#DIV/0!</v>
      </c>
    </row>
    <row r="344" spans="2:29" x14ac:dyDescent="0.2">
      <c r="B344" s="10" t="s">
        <v>64</v>
      </c>
      <c r="C344" s="11">
        <v>4</v>
      </c>
      <c r="D344" s="11">
        <v>8</v>
      </c>
      <c r="E344" s="11"/>
      <c r="F344" s="10" t="s">
        <v>140</v>
      </c>
      <c r="G344" s="10"/>
      <c r="H344" s="11">
        <v>1</v>
      </c>
      <c r="I344" s="12"/>
      <c r="J344" s="13"/>
      <c r="K344" s="12"/>
      <c r="L344" s="106"/>
      <c r="M344" s="107"/>
      <c r="N344" s="106"/>
      <c r="O344" s="12"/>
      <c r="P344" s="13"/>
      <c r="Q344" s="12"/>
      <c r="R344" s="106"/>
      <c r="S344" s="107"/>
      <c r="T344" s="106"/>
      <c r="U344" s="35"/>
      <c r="V344" s="35"/>
      <c r="W344" s="35"/>
      <c r="X344" s="20"/>
      <c r="Y344" s="11"/>
      <c r="Z344" s="11"/>
      <c r="AA344" s="38">
        <f>SUM(I344*J344)+(L344*M344)+(O344*P344)+(R344*S344)+(U344*V344)+(X344*Y344)</f>
        <v>0</v>
      </c>
      <c r="AB344" s="17" t="e">
        <f>AVERAGE(K344,N344,Q344,T344,W344,Z344)</f>
        <v>#DIV/0!</v>
      </c>
    </row>
    <row r="345" spans="2:29" hidden="1" x14ac:dyDescent="0.2">
      <c r="B345" s="10" t="s">
        <v>137</v>
      </c>
      <c r="C345" s="89">
        <v>1</v>
      </c>
      <c r="D345" s="88">
        <v>2</v>
      </c>
      <c r="E345" s="102"/>
      <c r="F345" s="88" t="s">
        <v>138</v>
      </c>
      <c r="G345" s="88"/>
      <c r="H345" s="88">
        <v>9.5</v>
      </c>
      <c r="I345" s="12"/>
      <c r="J345" s="13"/>
      <c r="K345" s="12"/>
      <c r="L345" s="106"/>
      <c r="M345" s="107"/>
      <c r="N345" s="106"/>
      <c r="O345" s="12"/>
      <c r="P345" s="13"/>
      <c r="Q345" s="12"/>
      <c r="R345" s="106"/>
      <c r="S345" s="107"/>
      <c r="T345" s="106"/>
      <c r="U345" s="35"/>
      <c r="V345" s="35"/>
      <c r="W345" s="35"/>
      <c r="X345" s="20"/>
      <c r="Y345" s="11"/>
      <c r="Z345" s="11"/>
      <c r="AA345" s="38">
        <f>SUM(I345*J345)+(L345*M345)+(O345*P345)+(R345*S345)+(U345*V345)+(X345*Y345)</f>
        <v>0</v>
      </c>
      <c r="AB345" s="17" t="e">
        <f>AVERAGE(K345,N345,Q345,T345,W345,Z345)</f>
        <v>#DIV/0!</v>
      </c>
    </row>
    <row r="346" spans="2:29" hidden="1" x14ac:dyDescent="0.2">
      <c r="B346" s="10" t="s">
        <v>139</v>
      </c>
      <c r="C346" s="140">
        <v>1</v>
      </c>
      <c r="D346" s="88">
        <v>2</v>
      </c>
      <c r="E346" s="102"/>
      <c r="F346" s="88" t="s">
        <v>138</v>
      </c>
      <c r="G346" s="88"/>
      <c r="H346" s="88">
        <v>9.5</v>
      </c>
      <c r="I346" s="12"/>
      <c r="J346" s="13"/>
      <c r="K346" s="12"/>
      <c r="L346" s="106"/>
      <c r="M346" s="107"/>
      <c r="N346" s="106"/>
      <c r="O346" s="12"/>
      <c r="P346" s="13"/>
      <c r="Q346" s="12"/>
      <c r="R346" s="106"/>
      <c r="S346" s="107"/>
      <c r="T346" s="106"/>
      <c r="U346" s="35"/>
      <c r="V346" s="35"/>
      <c r="W346" s="35"/>
      <c r="X346" s="20"/>
      <c r="Y346" s="11"/>
      <c r="Z346" s="11"/>
      <c r="AA346" s="39">
        <f t="shared" si="57"/>
        <v>0</v>
      </c>
      <c r="AB346" s="17" t="e">
        <f t="shared" si="56"/>
        <v>#DIV/0!</v>
      </c>
    </row>
    <row r="347" spans="2:29" x14ac:dyDescent="0.2">
      <c r="B347" s="206" t="str">
        <f>'Exercise Selection'!A20</f>
        <v>(C2) Single Arm Ext Rota Vertical</v>
      </c>
      <c r="C347" s="207"/>
      <c r="D347" s="207"/>
      <c r="E347" s="207"/>
      <c r="F347" s="207"/>
      <c r="G347" s="207"/>
      <c r="H347" s="207"/>
      <c r="I347" s="202" t="s">
        <v>119</v>
      </c>
      <c r="J347" s="203"/>
      <c r="K347" s="203"/>
      <c r="L347" s="202" t="s">
        <v>120</v>
      </c>
      <c r="M347" s="203"/>
      <c r="N347" s="203"/>
      <c r="O347" s="202" t="s">
        <v>121</v>
      </c>
      <c r="P347" s="203"/>
      <c r="Q347" s="203"/>
      <c r="R347" s="202" t="s">
        <v>122</v>
      </c>
      <c r="S347" s="203"/>
      <c r="T347" s="203"/>
      <c r="U347" s="202" t="s">
        <v>123</v>
      </c>
      <c r="V347" s="203"/>
      <c r="W347" s="203"/>
      <c r="X347" s="202" t="s">
        <v>124</v>
      </c>
      <c r="Y347" s="203"/>
      <c r="Z347" s="203"/>
      <c r="AA347" s="202" t="s">
        <v>126</v>
      </c>
      <c r="AB347" s="212" t="s">
        <v>127</v>
      </c>
    </row>
    <row r="348" spans="2:29" x14ac:dyDescent="0.2">
      <c r="B348" s="149"/>
      <c r="C348" s="149"/>
      <c r="D348" s="149"/>
      <c r="E348" s="149"/>
      <c r="F348" s="149"/>
      <c r="G348" s="149"/>
      <c r="H348" s="149"/>
      <c r="I348" s="148"/>
      <c r="J348" s="148"/>
      <c r="K348" s="148"/>
      <c r="L348" s="148"/>
      <c r="M348" s="148"/>
      <c r="N348" s="148"/>
      <c r="O348" s="148"/>
      <c r="P348" s="148"/>
      <c r="Q348" s="148"/>
      <c r="R348" s="148"/>
      <c r="S348" s="148"/>
      <c r="T348" s="148"/>
      <c r="U348" s="148"/>
      <c r="V348" s="148"/>
      <c r="W348" s="148"/>
      <c r="X348" s="148"/>
      <c r="Y348" s="148"/>
      <c r="Z348" s="148"/>
      <c r="AA348" s="203"/>
      <c r="AB348" s="213"/>
    </row>
    <row r="349" spans="2:29" s="111" customFormat="1" x14ac:dyDescent="0.2">
      <c r="B349" s="89" t="s">
        <v>128</v>
      </c>
      <c r="C349" s="90" t="s">
        <v>129</v>
      </c>
      <c r="D349" s="90" t="s">
        <v>38</v>
      </c>
      <c r="E349" s="90" t="s">
        <v>130</v>
      </c>
      <c r="F349" s="90" t="s">
        <v>131</v>
      </c>
      <c r="G349" s="91" t="s">
        <v>132</v>
      </c>
      <c r="H349" s="81" t="s">
        <v>133</v>
      </c>
      <c r="I349" s="83" t="s">
        <v>134</v>
      </c>
      <c r="J349" s="83" t="s">
        <v>135</v>
      </c>
      <c r="K349" s="83" t="s">
        <v>133</v>
      </c>
      <c r="L349" s="83" t="s">
        <v>134</v>
      </c>
      <c r="M349" s="83" t="s">
        <v>135</v>
      </c>
      <c r="N349" s="83" t="s">
        <v>133</v>
      </c>
      <c r="O349" s="83" t="s">
        <v>134</v>
      </c>
      <c r="P349" s="83" t="s">
        <v>135</v>
      </c>
      <c r="Q349" s="83" t="s">
        <v>133</v>
      </c>
      <c r="R349" s="83" t="s">
        <v>134</v>
      </c>
      <c r="S349" s="83" t="s">
        <v>135</v>
      </c>
      <c r="T349" s="83" t="s">
        <v>133</v>
      </c>
      <c r="U349" s="83" t="s">
        <v>134</v>
      </c>
      <c r="V349" s="83" t="s">
        <v>135</v>
      </c>
      <c r="W349" s="83" t="s">
        <v>133</v>
      </c>
      <c r="X349" s="83" t="s">
        <v>134</v>
      </c>
      <c r="Y349" s="83" t="s">
        <v>135</v>
      </c>
      <c r="Z349" s="84" t="s">
        <v>133</v>
      </c>
      <c r="AA349" s="203"/>
      <c r="AB349" s="213"/>
    </row>
    <row r="350" spans="2:29" x14ac:dyDescent="0.2">
      <c r="B350" s="10" t="s">
        <v>59</v>
      </c>
      <c r="C350" s="10">
        <v>2</v>
      </c>
      <c r="D350" s="10">
        <v>12</v>
      </c>
      <c r="E350" s="10"/>
      <c r="F350" s="10" t="s">
        <v>140</v>
      </c>
      <c r="G350" s="10"/>
      <c r="H350" s="10">
        <v>2</v>
      </c>
      <c r="I350" s="12">
        <v>4</v>
      </c>
      <c r="J350" s="13">
        <v>12</v>
      </c>
      <c r="K350" s="12"/>
      <c r="L350" s="106">
        <v>4</v>
      </c>
      <c r="M350" s="107">
        <v>12</v>
      </c>
      <c r="N350" s="106"/>
      <c r="O350" s="12"/>
      <c r="P350" s="13"/>
      <c r="Q350" s="12"/>
      <c r="R350" s="106"/>
      <c r="S350" s="107"/>
      <c r="T350" s="106"/>
      <c r="U350" s="33"/>
      <c r="V350" s="34"/>
      <c r="W350" s="33"/>
      <c r="X350" s="14"/>
      <c r="Y350" s="10"/>
      <c r="Z350" s="10"/>
      <c r="AA350" s="37">
        <f>SUM(I350*J350)+(L350*M350)+(O350*P350)+(R350*S350)+(U350*V350)+(X350*Y350)</f>
        <v>96</v>
      </c>
      <c r="AB350" s="17" t="e">
        <f t="shared" ref="AB350:AB357" si="58">AVERAGE(K350,N350,Q350,T350,W350,Z350)</f>
        <v>#DIV/0!</v>
      </c>
    </row>
    <row r="351" spans="2:29" x14ac:dyDescent="0.2">
      <c r="B351" s="10" t="s">
        <v>60</v>
      </c>
      <c r="C351" s="10">
        <v>3</v>
      </c>
      <c r="D351" s="10">
        <v>12</v>
      </c>
      <c r="E351" s="10"/>
      <c r="F351" s="10" t="s">
        <v>140</v>
      </c>
      <c r="G351" s="10"/>
      <c r="H351" s="10">
        <v>1</v>
      </c>
      <c r="I351" s="12">
        <v>4</v>
      </c>
      <c r="J351" s="13">
        <v>12</v>
      </c>
      <c r="K351" s="12"/>
      <c r="L351" s="106">
        <v>4</v>
      </c>
      <c r="M351" s="107">
        <v>12</v>
      </c>
      <c r="N351" s="106"/>
      <c r="O351" s="12">
        <v>4</v>
      </c>
      <c r="P351" s="13">
        <v>12</v>
      </c>
      <c r="Q351" s="12"/>
      <c r="R351" s="106"/>
      <c r="S351" s="107"/>
      <c r="T351" s="106"/>
      <c r="U351" s="33"/>
      <c r="V351" s="33"/>
      <c r="W351" s="33"/>
      <c r="X351" s="14"/>
      <c r="Y351" s="10"/>
      <c r="Z351" s="10"/>
      <c r="AA351" s="38">
        <f t="shared" ref="AA351:AA357" si="59">SUM(I351*J351)+(L351*M351)+(O351*P351)+(R351*S351)+(U351*V351)+(X351*Y351)</f>
        <v>144</v>
      </c>
      <c r="AB351" s="17" t="e">
        <f t="shared" si="58"/>
        <v>#DIV/0!</v>
      </c>
    </row>
    <row r="352" spans="2:29" x14ac:dyDescent="0.2">
      <c r="B352" s="10" t="s">
        <v>61</v>
      </c>
      <c r="C352" s="10">
        <v>4</v>
      </c>
      <c r="D352" s="10">
        <v>10</v>
      </c>
      <c r="E352" s="10"/>
      <c r="F352" s="10" t="s">
        <v>140</v>
      </c>
      <c r="G352" s="10"/>
      <c r="H352" s="10">
        <v>2</v>
      </c>
      <c r="I352" s="12">
        <v>4</v>
      </c>
      <c r="J352" s="13">
        <v>10</v>
      </c>
      <c r="K352" s="12"/>
      <c r="L352" s="106">
        <v>4</v>
      </c>
      <c r="M352" s="107">
        <v>10</v>
      </c>
      <c r="N352" s="106"/>
      <c r="O352" s="12">
        <v>4</v>
      </c>
      <c r="P352" s="13">
        <v>10</v>
      </c>
      <c r="Q352" s="12"/>
      <c r="R352" s="106">
        <v>4</v>
      </c>
      <c r="S352" s="107">
        <v>10</v>
      </c>
      <c r="T352" s="106"/>
      <c r="U352" s="33"/>
      <c r="V352" s="33"/>
      <c r="W352" s="33"/>
      <c r="X352" s="14"/>
      <c r="Y352" s="10"/>
      <c r="Z352" s="10"/>
      <c r="AA352" s="38">
        <f t="shared" si="59"/>
        <v>160</v>
      </c>
      <c r="AB352" s="17" t="e">
        <f t="shared" si="58"/>
        <v>#DIV/0!</v>
      </c>
    </row>
    <row r="353" spans="2:28" x14ac:dyDescent="0.2">
      <c r="B353" s="10" t="s">
        <v>62</v>
      </c>
      <c r="C353" s="11">
        <v>2</v>
      </c>
      <c r="D353" s="11">
        <v>10</v>
      </c>
      <c r="E353" s="11"/>
      <c r="F353" s="10" t="s">
        <v>140</v>
      </c>
      <c r="G353" s="10"/>
      <c r="H353" s="11">
        <v>1</v>
      </c>
      <c r="I353" s="12">
        <v>5</v>
      </c>
      <c r="J353" s="13">
        <v>10</v>
      </c>
      <c r="K353" s="12"/>
      <c r="L353" s="106">
        <v>5</v>
      </c>
      <c r="M353" s="107">
        <v>10</v>
      </c>
      <c r="N353" s="106"/>
      <c r="O353" s="12"/>
      <c r="P353" s="13"/>
      <c r="Q353" s="12"/>
      <c r="R353" s="106"/>
      <c r="S353" s="107"/>
      <c r="T353" s="106"/>
      <c r="U353" s="35"/>
      <c r="V353" s="35"/>
      <c r="W353" s="35"/>
      <c r="X353" s="20"/>
      <c r="Y353" s="11"/>
      <c r="Z353" s="11"/>
      <c r="AA353" s="38">
        <f>SUM(I353*J353)+(L353*M353)+(O353*P353)+(R353*S353)+(U353*V353)+(X353*Y353)</f>
        <v>100</v>
      </c>
      <c r="AB353" s="17" t="e">
        <f>AVERAGE(K353,N353,Q353,T353,W353,Z353)</f>
        <v>#DIV/0!</v>
      </c>
    </row>
    <row r="354" spans="2:28" x14ac:dyDescent="0.2">
      <c r="B354" s="10" t="s">
        <v>63</v>
      </c>
      <c r="C354" s="10">
        <v>3</v>
      </c>
      <c r="D354" s="10">
        <v>8</v>
      </c>
      <c r="E354" s="10"/>
      <c r="F354" s="10" t="s">
        <v>140</v>
      </c>
      <c r="G354" s="10"/>
      <c r="H354" s="10">
        <v>2</v>
      </c>
      <c r="I354" s="12"/>
      <c r="J354" s="13"/>
      <c r="K354" s="12"/>
      <c r="L354" s="106"/>
      <c r="M354" s="107"/>
      <c r="N354" s="106"/>
      <c r="O354" s="12"/>
      <c r="P354" s="13"/>
      <c r="Q354" s="12"/>
      <c r="R354" s="106"/>
      <c r="S354" s="107"/>
      <c r="T354" s="106"/>
      <c r="U354" s="35"/>
      <c r="V354" s="35"/>
      <c r="W354" s="35"/>
      <c r="X354" s="20"/>
      <c r="Y354" s="11"/>
      <c r="Z354" s="11"/>
      <c r="AA354" s="38">
        <f>SUM(I354*J354)+(L354*M354)+(O354*P354)+(R354*S354)+(U354*V354)+(X354*Y354)</f>
        <v>0</v>
      </c>
      <c r="AB354" s="17" t="e">
        <f>AVERAGE(K354,N354,Q354,T354,W354,Z354)</f>
        <v>#DIV/0!</v>
      </c>
    </row>
    <row r="355" spans="2:28" x14ac:dyDescent="0.2">
      <c r="B355" s="10" t="s">
        <v>64</v>
      </c>
      <c r="C355" s="11">
        <v>4</v>
      </c>
      <c r="D355" s="11">
        <v>8</v>
      </c>
      <c r="E355" s="11"/>
      <c r="F355" s="10" t="s">
        <v>140</v>
      </c>
      <c r="G355" s="10"/>
      <c r="H355" s="11">
        <v>1</v>
      </c>
      <c r="I355" s="12"/>
      <c r="J355" s="13"/>
      <c r="K355" s="12"/>
      <c r="L355" s="106"/>
      <c r="M355" s="107"/>
      <c r="N355" s="106"/>
      <c r="O355" s="12"/>
      <c r="P355" s="13"/>
      <c r="Q355" s="12"/>
      <c r="R355" s="106"/>
      <c r="S355" s="107"/>
      <c r="T355" s="106"/>
      <c r="U355" s="35"/>
      <c r="V355" s="35"/>
      <c r="W355" s="35"/>
      <c r="X355" s="20"/>
      <c r="Y355" s="11"/>
      <c r="Z355" s="11"/>
      <c r="AA355" s="38">
        <f>SUM(I355*J355)+(L355*M355)+(O355*P355)+(R355*S355)+(U355*V355)+(X355*Y355)</f>
        <v>0</v>
      </c>
      <c r="AB355" s="17" t="e">
        <f>AVERAGE(K355,N355,Q355,T355,W355,Z355)</f>
        <v>#DIV/0!</v>
      </c>
    </row>
    <row r="356" spans="2:28" hidden="1" x14ac:dyDescent="0.2">
      <c r="B356" s="10" t="s">
        <v>137</v>
      </c>
      <c r="C356" s="146" t="s">
        <v>141</v>
      </c>
      <c r="D356" s="88">
        <v>2</v>
      </c>
      <c r="E356" s="102">
        <v>0.04</v>
      </c>
      <c r="F356" s="92" t="s">
        <v>168</v>
      </c>
      <c r="G356" s="88"/>
      <c r="H356" s="88">
        <v>9</v>
      </c>
      <c r="I356" s="12"/>
      <c r="J356" s="13"/>
      <c r="K356" s="12"/>
      <c r="L356" s="106"/>
      <c r="M356" s="107"/>
      <c r="N356" s="106"/>
      <c r="O356" s="12"/>
      <c r="P356" s="13"/>
      <c r="Q356" s="12"/>
      <c r="R356" s="106"/>
      <c r="S356" s="107"/>
      <c r="T356" s="106"/>
      <c r="U356" s="35"/>
      <c r="V356" s="35"/>
      <c r="W356" s="35"/>
      <c r="X356" s="20"/>
      <c r="Y356" s="11"/>
      <c r="Z356" s="11"/>
      <c r="AA356" s="38">
        <f>SUM(I356*J356)+(L356*M356)+(O356*P356)+(R356*S356)+(U356*V356)+(X356*Y356)</f>
        <v>0</v>
      </c>
      <c r="AB356" s="17" t="e">
        <f>AVERAGE(K356,N356,Q356,T356,W356,Z356)</f>
        <v>#DIV/0!</v>
      </c>
    </row>
    <row r="357" spans="2:28" hidden="1" x14ac:dyDescent="0.2">
      <c r="B357" s="10" t="s">
        <v>139</v>
      </c>
      <c r="C357" s="146" t="s">
        <v>169</v>
      </c>
      <c r="D357" s="88">
        <v>2</v>
      </c>
      <c r="E357" s="102">
        <v>0.08</v>
      </c>
      <c r="F357" s="92" t="s">
        <v>168</v>
      </c>
      <c r="G357" s="88"/>
      <c r="H357" s="88">
        <v>10</v>
      </c>
      <c r="I357" s="12"/>
      <c r="J357" s="13"/>
      <c r="K357" s="12"/>
      <c r="L357" s="106"/>
      <c r="M357" s="107"/>
      <c r="N357" s="106"/>
      <c r="O357" s="12"/>
      <c r="P357" s="13"/>
      <c r="Q357" s="12"/>
      <c r="R357" s="106"/>
      <c r="S357" s="107"/>
      <c r="T357" s="106"/>
      <c r="U357" s="35"/>
      <c r="V357" s="35"/>
      <c r="W357" s="35"/>
      <c r="X357" s="20"/>
      <c r="Y357" s="11"/>
      <c r="Z357" s="11"/>
      <c r="AA357" s="39">
        <f t="shared" si="59"/>
        <v>0</v>
      </c>
      <c r="AB357" s="17" t="e">
        <f t="shared" si="58"/>
        <v>#DIV/0!</v>
      </c>
    </row>
    <row r="358" spans="2:28" x14ac:dyDescent="0.2">
      <c r="B358" s="202" t="str">
        <f>'Exercise Selection'!A21</f>
        <v>(C3) Zottman Curl</v>
      </c>
      <c r="C358" s="203"/>
      <c r="D358" s="203"/>
      <c r="E358" s="203"/>
      <c r="F358" s="203"/>
      <c r="G358" s="203"/>
      <c r="H358" s="203"/>
      <c r="I358" s="202" t="s">
        <v>119</v>
      </c>
      <c r="J358" s="203"/>
      <c r="K358" s="203"/>
      <c r="L358" s="202" t="s">
        <v>120</v>
      </c>
      <c r="M358" s="203"/>
      <c r="N358" s="203"/>
      <c r="O358" s="202" t="s">
        <v>121</v>
      </c>
      <c r="P358" s="203"/>
      <c r="Q358" s="203"/>
      <c r="R358" s="202" t="s">
        <v>122</v>
      </c>
      <c r="S358" s="203"/>
      <c r="T358" s="203"/>
      <c r="U358" s="202" t="s">
        <v>123</v>
      </c>
      <c r="V358" s="203"/>
      <c r="W358" s="203"/>
      <c r="X358" s="202" t="s">
        <v>124</v>
      </c>
      <c r="Y358" s="203"/>
      <c r="Z358" s="203"/>
      <c r="AA358" s="202" t="s">
        <v>126</v>
      </c>
      <c r="AB358" s="212" t="s">
        <v>127</v>
      </c>
    </row>
    <row r="359" spans="2:28" x14ac:dyDescent="0.2">
      <c r="B359" s="202"/>
      <c r="C359" s="203"/>
      <c r="D359" s="203"/>
      <c r="E359" s="203"/>
      <c r="F359" s="203"/>
      <c r="G359" s="203"/>
      <c r="H359" s="203"/>
      <c r="I359" s="148"/>
      <c r="J359" s="148"/>
      <c r="K359" s="148"/>
      <c r="L359" s="148"/>
      <c r="M359" s="148"/>
      <c r="N359" s="148"/>
      <c r="O359" s="148"/>
      <c r="P359" s="148"/>
      <c r="Q359" s="148"/>
      <c r="R359" s="148"/>
      <c r="S359" s="148"/>
      <c r="T359" s="148"/>
      <c r="U359" s="148"/>
      <c r="V359" s="148"/>
      <c r="W359" s="148"/>
      <c r="X359" s="148"/>
      <c r="Y359" s="148"/>
      <c r="Z359" s="148"/>
      <c r="AA359" s="203"/>
      <c r="AB359" s="213"/>
    </row>
    <row r="360" spans="2:28" s="111" customFormat="1" x14ac:dyDescent="0.2">
      <c r="B360" s="89" t="s">
        <v>128</v>
      </c>
      <c r="C360" s="90" t="s">
        <v>129</v>
      </c>
      <c r="D360" s="90" t="s">
        <v>38</v>
      </c>
      <c r="E360" s="90" t="s">
        <v>130</v>
      </c>
      <c r="F360" s="90" t="s">
        <v>131</v>
      </c>
      <c r="G360" s="91" t="s">
        <v>132</v>
      </c>
      <c r="H360" s="81" t="s">
        <v>133</v>
      </c>
      <c r="I360" s="83" t="s">
        <v>134</v>
      </c>
      <c r="J360" s="83" t="s">
        <v>135</v>
      </c>
      <c r="K360" s="83" t="s">
        <v>133</v>
      </c>
      <c r="L360" s="83" t="s">
        <v>134</v>
      </c>
      <c r="M360" s="83" t="s">
        <v>135</v>
      </c>
      <c r="N360" s="83" t="s">
        <v>133</v>
      </c>
      <c r="O360" s="83" t="s">
        <v>134</v>
      </c>
      <c r="P360" s="83" t="s">
        <v>135</v>
      </c>
      <c r="Q360" s="83" t="s">
        <v>133</v>
      </c>
      <c r="R360" s="83" t="s">
        <v>134</v>
      </c>
      <c r="S360" s="83" t="s">
        <v>135</v>
      </c>
      <c r="T360" s="83" t="s">
        <v>133</v>
      </c>
      <c r="U360" s="83" t="s">
        <v>134</v>
      </c>
      <c r="V360" s="83" t="s">
        <v>135</v>
      </c>
      <c r="W360" s="83" t="s">
        <v>133</v>
      </c>
      <c r="X360" s="83" t="s">
        <v>134</v>
      </c>
      <c r="Y360" s="83" t="s">
        <v>135</v>
      </c>
      <c r="Z360" s="84" t="s">
        <v>133</v>
      </c>
      <c r="AA360" s="203"/>
      <c r="AB360" s="213"/>
    </row>
    <row r="361" spans="2:28" x14ac:dyDescent="0.2">
      <c r="B361" s="10" t="s">
        <v>59</v>
      </c>
      <c r="C361" s="10">
        <v>2</v>
      </c>
      <c r="D361" s="10">
        <v>12</v>
      </c>
      <c r="E361" s="10"/>
      <c r="F361" s="10" t="s">
        <v>140</v>
      </c>
      <c r="G361" s="10"/>
      <c r="H361" s="10">
        <v>2</v>
      </c>
      <c r="I361" s="12">
        <v>16</v>
      </c>
      <c r="J361" s="13">
        <v>12</v>
      </c>
      <c r="K361" s="12"/>
      <c r="L361" s="106">
        <v>16</v>
      </c>
      <c r="M361" s="107">
        <v>12</v>
      </c>
      <c r="N361" s="106"/>
      <c r="O361" s="12"/>
      <c r="P361" s="13"/>
      <c r="Q361" s="12"/>
      <c r="R361" s="106"/>
      <c r="S361" s="107"/>
      <c r="T361" s="106"/>
      <c r="U361" s="33"/>
      <c r="V361" s="34"/>
      <c r="W361" s="33"/>
      <c r="X361" s="14"/>
      <c r="Y361" s="10"/>
      <c r="Z361" s="10"/>
      <c r="AA361" s="37">
        <f>SUM(I361*J361)+(L361*M361)+(O361*P361)+(R361*S361)+(U361*V361)+(X361*Y361)</f>
        <v>384</v>
      </c>
      <c r="AB361" s="17" t="e">
        <f t="shared" ref="AB361:AB368" si="60">AVERAGE(K361,N361,Q361,T361,W361,Z361)</f>
        <v>#DIV/0!</v>
      </c>
    </row>
    <row r="362" spans="2:28" x14ac:dyDescent="0.2">
      <c r="B362" s="10" t="s">
        <v>60</v>
      </c>
      <c r="C362" s="10">
        <v>3</v>
      </c>
      <c r="D362" s="10">
        <v>12</v>
      </c>
      <c r="E362" s="10"/>
      <c r="F362" s="10" t="s">
        <v>140</v>
      </c>
      <c r="G362" s="10"/>
      <c r="H362" s="10">
        <v>1</v>
      </c>
      <c r="I362" s="12">
        <v>16</v>
      </c>
      <c r="J362" s="13">
        <v>12</v>
      </c>
      <c r="K362" s="12"/>
      <c r="L362" s="106">
        <v>16</v>
      </c>
      <c r="M362" s="107">
        <v>12</v>
      </c>
      <c r="N362" s="106"/>
      <c r="O362" s="12">
        <v>16</v>
      </c>
      <c r="P362" s="13">
        <v>12</v>
      </c>
      <c r="Q362" s="12"/>
      <c r="R362" s="106"/>
      <c r="S362" s="107"/>
      <c r="T362" s="106"/>
      <c r="U362" s="33"/>
      <c r="V362" s="33"/>
      <c r="W362" s="33"/>
      <c r="X362" s="14"/>
      <c r="Y362" s="10"/>
      <c r="Z362" s="10"/>
      <c r="AA362" s="38">
        <f t="shared" ref="AA362:AA368" si="61">SUM(I362*J362)+(L362*M362)+(O362*P362)+(R362*S362)+(U362*V362)+(X362*Y362)</f>
        <v>576</v>
      </c>
      <c r="AB362" s="17" t="e">
        <f t="shared" si="60"/>
        <v>#DIV/0!</v>
      </c>
    </row>
    <row r="363" spans="2:28" x14ac:dyDescent="0.2">
      <c r="B363" s="10" t="s">
        <v>61</v>
      </c>
      <c r="C363" s="10">
        <v>4</v>
      </c>
      <c r="D363" s="10">
        <v>10</v>
      </c>
      <c r="E363" s="10"/>
      <c r="F363" s="10" t="s">
        <v>140</v>
      </c>
      <c r="G363" s="10"/>
      <c r="H363" s="10">
        <v>2</v>
      </c>
      <c r="I363" s="12">
        <v>20</v>
      </c>
      <c r="J363" s="13">
        <v>10</v>
      </c>
      <c r="K363" s="12"/>
      <c r="L363" s="106">
        <v>20</v>
      </c>
      <c r="M363" s="107">
        <v>10</v>
      </c>
      <c r="N363" s="106"/>
      <c r="O363" s="12">
        <v>20</v>
      </c>
      <c r="P363" s="13">
        <v>10</v>
      </c>
      <c r="Q363" s="12"/>
      <c r="R363" s="106">
        <v>20</v>
      </c>
      <c r="S363" s="107">
        <v>10</v>
      </c>
      <c r="T363" s="106"/>
      <c r="U363" s="33"/>
      <c r="V363" s="33"/>
      <c r="W363" s="33"/>
      <c r="X363" s="14"/>
      <c r="Y363" s="10"/>
      <c r="Z363" s="10"/>
      <c r="AA363" s="38">
        <f t="shared" si="61"/>
        <v>800</v>
      </c>
      <c r="AB363" s="17" t="e">
        <f t="shared" si="60"/>
        <v>#DIV/0!</v>
      </c>
    </row>
    <row r="364" spans="2:28" x14ac:dyDescent="0.2">
      <c r="B364" s="10" t="s">
        <v>62</v>
      </c>
      <c r="C364" s="11">
        <v>2</v>
      </c>
      <c r="D364" s="11">
        <v>10</v>
      </c>
      <c r="E364" s="11"/>
      <c r="F364" s="10" t="s">
        <v>140</v>
      </c>
      <c r="G364" s="10"/>
      <c r="H364" s="11">
        <v>1</v>
      </c>
      <c r="I364" s="12">
        <v>20</v>
      </c>
      <c r="J364" s="13">
        <v>10</v>
      </c>
      <c r="K364" s="12"/>
      <c r="L364" s="106">
        <v>20</v>
      </c>
      <c r="M364" s="107">
        <v>10</v>
      </c>
      <c r="N364" s="106"/>
      <c r="O364" s="12"/>
      <c r="P364" s="13"/>
      <c r="Q364" s="12"/>
      <c r="R364" s="106"/>
      <c r="S364" s="107"/>
      <c r="T364" s="106"/>
      <c r="U364" s="35"/>
      <c r="V364" s="35"/>
      <c r="W364" s="35"/>
      <c r="X364" s="20"/>
      <c r="Y364" s="11"/>
      <c r="Z364" s="11"/>
      <c r="AA364" s="38">
        <f>SUM(I364*J364)+(L364*M364)+(O364*P364)+(R364*S364)+(U364*V364)+(X364*Y364)</f>
        <v>400</v>
      </c>
      <c r="AB364" s="17" t="e">
        <f>AVERAGE(K364,N364,Q364,T364,W364,Z364)</f>
        <v>#DIV/0!</v>
      </c>
    </row>
    <row r="365" spans="2:28" x14ac:dyDescent="0.2">
      <c r="B365" s="10" t="s">
        <v>63</v>
      </c>
      <c r="C365" s="10">
        <v>3</v>
      </c>
      <c r="D365" s="10">
        <v>8</v>
      </c>
      <c r="E365" s="10"/>
      <c r="F365" s="10" t="s">
        <v>140</v>
      </c>
      <c r="G365" s="10"/>
      <c r="H365" s="10">
        <v>2</v>
      </c>
      <c r="I365" s="12"/>
      <c r="J365" s="13"/>
      <c r="K365" s="12"/>
      <c r="L365" s="106"/>
      <c r="M365" s="107"/>
      <c r="N365" s="106"/>
      <c r="O365" s="12"/>
      <c r="P365" s="13"/>
      <c r="Q365" s="12"/>
      <c r="R365" s="106"/>
      <c r="S365" s="107"/>
      <c r="T365" s="106"/>
      <c r="U365" s="35"/>
      <c r="V365" s="35"/>
      <c r="W365" s="35"/>
      <c r="X365" s="20"/>
      <c r="Y365" s="11"/>
      <c r="Z365" s="11"/>
      <c r="AA365" s="38">
        <f>SUM(I365*J365)+(L365*M365)+(O365*P365)+(R365*S365)+(U365*V365)+(X365*Y365)</f>
        <v>0</v>
      </c>
      <c r="AB365" s="17" t="e">
        <f>AVERAGE(K365,N365,Q365,T365,W365,Z365)</f>
        <v>#DIV/0!</v>
      </c>
    </row>
    <row r="366" spans="2:28" x14ac:dyDescent="0.2">
      <c r="B366" s="10" t="s">
        <v>64</v>
      </c>
      <c r="C366" s="11">
        <v>4</v>
      </c>
      <c r="D366" s="11">
        <v>8</v>
      </c>
      <c r="E366" s="11"/>
      <c r="F366" s="10" t="s">
        <v>140</v>
      </c>
      <c r="G366" s="10"/>
      <c r="H366" s="11">
        <v>1</v>
      </c>
      <c r="I366" s="12"/>
      <c r="J366" s="13"/>
      <c r="K366" s="12"/>
      <c r="L366" s="106"/>
      <c r="M366" s="107"/>
      <c r="N366" s="106"/>
      <c r="O366" s="12"/>
      <c r="P366" s="13"/>
      <c r="Q366" s="12"/>
      <c r="R366" s="106"/>
      <c r="S366" s="107"/>
      <c r="T366" s="106"/>
      <c r="U366" s="35"/>
      <c r="V366" s="35"/>
      <c r="W366" s="35"/>
      <c r="X366" s="20"/>
      <c r="Y366" s="11"/>
      <c r="Z366" s="11"/>
      <c r="AA366" s="38">
        <f>SUM(I366*J366)+(L366*M366)+(O366*P366)+(R366*S366)+(U366*V366)+(X366*Y366)</f>
        <v>0</v>
      </c>
      <c r="AB366" s="17" t="e">
        <f>AVERAGE(K366,N366,Q366,T366,W366,Z366)</f>
        <v>#DIV/0!</v>
      </c>
    </row>
    <row r="367" spans="2:28" hidden="1" x14ac:dyDescent="0.2">
      <c r="B367" s="10" t="s">
        <v>137</v>
      </c>
      <c r="C367" s="11"/>
      <c r="D367" s="96"/>
      <c r="E367" s="11"/>
      <c r="F367" s="11"/>
      <c r="G367" s="11"/>
      <c r="H367" s="11"/>
      <c r="I367" s="12"/>
      <c r="J367" s="13"/>
      <c r="K367" s="12"/>
      <c r="L367" s="106"/>
      <c r="M367" s="107"/>
      <c r="N367" s="106"/>
      <c r="O367" s="12"/>
      <c r="P367" s="13"/>
      <c r="Q367" s="12"/>
      <c r="R367" s="106"/>
      <c r="S367" s="107"/>
      <c r="T367" s="106"/>
      <c r="U367" s="35"/>
      <c r="V367" s="35"/>
      <c r="W367" s="35"/>
      <c r="X367" s="20"/>
      <c r="Y367" s="11"/>
      <c r="Z367" s="11"/>
      <c r="AA367" s="38">
        <f>SUM(I367*J367)+(L367*M367)+(O367*P367)+(R367*S367)+(U367*V367)+(X367*Y367)</f>
        <v>0</v>
      </c>
      <c r="AB367" s="17" t="e">
        <f>AVERAGE(K367,N367,Q367,T367,W367,Z367)</f>
        <v>#DIV/0!</v>
      </c>
    </row>
    <row r="368" spans="2:28" hidden="1" x14ac:dyDescent="0.2">
      <c r="B368" s="10" t="s">
        <v>139</v>
      </c>
      <c r="C368" s="11"/>
      <c r="D368" s="11"/>
      <c r="E368" s="11"/>
      <c r="F368" s="11"/>
      <c r="G368" s="11"/>
      <c r="H368" s="11"/>
      <c r="I368" s="12"/>
      <c r="J368" s="13"/>
      <c r="K368" s="12"/>
      <c r="L368" s="106"/>
      <c r="M368" s="107"/>
      <c r="N368" s="106"/>
      <c r="O368" s="12"/>
      <c r="P368" s="13"/>
      <c r="Q368" s="12"/>
      <c r="R368" s="106"/>
      <c r="S368" s="107"/>
      <c r="T368" s="106"/>
      <c r="U368" s="35"/>
      <c r="V368" s="35"/>
      <c r="W368" s="35"/>
      <c r="X368" s="20"/>
      <c r="Y368" s="11"/>
      <c r="Z368" s="11"/>
      <c r="AA368" s="39">
        <f t="shared" si="61"/>
        <v>0</v>
      </c>
      <c r="AB368" s="17" t="e">
        <f t="shared" si="60"/>
        <v>#DIV/0!</v>
      </c>
    </row>
    <row r="369" spans="2:28" hidden="1" x14ac:dyDescent="0.2">
      <c r="B369" s="202">
        <f>'Exercise Selection'!A22</f>
        <v>0</v>
      </c>
      <c r="C369" s="203"/>
      <c r="D369" s="203"/>
      <c r="E369" s="203"/>
      <c r="F369" s="203"/>
      <c r="G369" s="203"/>
      <c r="H369" s="203"/>
      <c r="I369" s="202" t="s">
        <v>119</v>
      </c>
      <c r="J369" s="203"/>
      <c r="K369" s="203"/>
      <c r="L369" s="202" t="s">
        <v>120</v>
      </c>
      <c r="M369" s="203"/>
      <c r="N369" s="203"/>
      <c r="O369" s="202" t="s">
        <v>121</v>
      </c>
      <c r="P369" s="203"/>
      <c r="Q369" s="203"/>
      <c r="R369" s="202" t="s">
        <v>122</v>
      </c>
      <c r="S369" s="203"/>
      <c r="T369" s="203"/>
      <c r="U369" s="202" t="s">
        <v>123</v>
      </c>
      <c r="V369" s="203"/>
      <c r="W369" s="203"/>
      <c r="X369" s="202" t="s">
        <v>124</v>
      </c>
      <c r="Y369" s="203"/>
      <c r="Z369" s="203"/>
      <c r="AA369" s="202" t="s">
        <v>126</v>
      </c>
      <c r="AB369" s="202" t="s">
        <v>127</v>
      </c>
    </row>
    <row r="370" spans="2:28" hidden="1" x14ac:dyDescent="0.2">
      <c r="B370" s="204"/>
      <c r="C370" s="205"/>
      <c r="D370" s="205"/>
      <c r="E370" s="205"/>
      <c r="F370" s="205"/>
      <c r="G370" s="205"/>
      <c r="H370" s="205"/>
      <c r="I370" s="148"/>
      <c r="J370" s="148"/>
      <c r="K370" s="148"/>
      <c r="L370" s="148"/>
      <c r="M370" s="148"/>
      <c r="N370" s="148"/>
      <c r="O370" s="148"/>
      <c r="P370" s="148"/>
      <c r="Q370" s="148"/>
      <c r="R370" s="148"/>
      <c r="S370" s="148"/>
      <c r="T370" s="148"/>
      <c r="U370" s="148"/>
      <c r="V370" s="148"/>
      <c r="W370" s="148"/>
      <c r="X370" s="148"/>
      <c r="Y370" s="148"/>
      <c r="Z370" s="148"/>
      <c r="AA370" s="203"/>
      <c r="AB370" s="203"/>
    </row>
    <row r="371" spans="2:28" s="111" customFormat="1" hidden="1" x14ac:dyDescent="0.2">
      <c r="B371" s="89" t="s">
        <v>128</v>
      </c>
      <c r="C371" s="90" t="s">
        <v>129</v>
      </c>
      <c r="D371" s="90" t="s">
        <v>38</v>
      </c>
      <c r="E371" s="90" t="s">
        <v>130</v>
      </c>
      <c r="F371" s="90" t="s">
        <v>131</v>
      </c>
      <c r="G371" s="91" t="s">
        <v>132</v>
      </c>
      <c r="H371" s="81" t="s">
        <v>133</v>
      </c>
      <c r="I371" s="80" t="s">
        <v>134</v>
      </c>
      <c r="J371" s="80" t="s">
        <v>135</v>
      </c>
      <c r="K371" s="80" t="s">
        <v>133</v>
      </c>
      <c r="L371" s="80" t="s">
        <v>134</v>
      </c>
      <c r="M371" s="80" t="s">
        <v>135</v>
      </c>
      <c r="N371" s="80" t="s">
        <v>133</v>
      </c>
      <c r="O371" s="80" t="s">
        <v>134</v>
      </c>
      <c r="P371" s="80" t="s">
        <v>135</v>
      </c>
      <c r="Q371" s="80" t="s">
        <v>133</v>
      </c>
      <c r="R371" s="80" t="s">
        <v>134</v>
      </c>
      <c r="S371" s="80" t="s">
        <v>135</v>
      </c>
      <c r="T371" s="80" t="s">
        <v>133</v>
      </c>
      <c r="U371" s="80" t="s">
        <v>134</v>
      </c>
      <c r="V371" s="80" t="s">
        <v>135</v>
      </c>
      <c r="W371" s="80" t="s">
        <v>133</v>
      </c>
      <c r="X371" s="80" t="s">
        <v>134</v>
      </c>
      <c r="Y371" s="80" t="s">
        <v>135</v>
      </c>
      <c r="Z371" s="82" t="s">
        <v>133</v>
      </c>
      <c r="AA371" s="203"/>
      <c r="AB371" s="203"/>
    </row>
    <row r="372" spans="2:28" hidden="1" x14ac:dyDescent="0.2">
      <c r="B372" s="10" t="s">
        <v>59</v>
      </c>
      <c r="C372" s="10"/>
      <c r="D372" s="10"/>
      <c r="E372" s="10"/>
      <c r="F372" s="10"/>
      <c r="G372" s="10"/>
      <c r="H372" s="10"/>
      <c r="I372" s="12"/>
      <c r="J372" s="13"/>
      <c r="K372" s="12"/>
      <c r="L372" s="106"/>
      <c r="M372" s="107"/>
      <c r="N372" s="106"/>
      <c r="O372" s="12"/>
      <c r="P372" s="13"/>
      <c r="Q372" s="12"/>
      <c r="R372" s="106"/>
      <c r="S372" s="107"/>
      <c r="T372" s="106"/>
      <c r="U372" s="12"/>
      <c r="V372" s="13"/>
      <c r="W372" s="12"/>
      <c r="X372" s="14"/>
      <c r="Y372" s="10"/>
      <c r="Z372" s="10"/>
      <c r="AA372" s="19">
        <f>SUM(I372*J372)+(L372*M372)+(O372*P372)+(R372*S372)+(U372*V372)+(X372*Y372)</f>
        <v>0</v>
      </c>
      <c r="AB372" s="17" t="e">
        <f t="shared" ref="AB372:AB379" si="62">AVERAGE(K372,N372,Q372,T372,W372,Z372)</f>
        <v>#DIV/0!</v>
      </c>
    </row>
    <row r="373" spans="2:28" hidden="1" x14ac:dyDescent="0.2">
      <c r="B373" s="10" t="s">
        <v>60</v>
      </c>
      <c r="C373" s="10"/>
      <c r="D373" s="10"/>
      <c r="E373" s="10"/>
      <c r="F373" s="10"/>
      <c r="G373" s="10"/>
      <c r="H373" s="10"/>
      <c r="I373" s="12"/>
      <c r="J373" s="13"/>
      <c r="K373" s="12"/>
      <c r="L373" s="106"/>
      <c r="M373" s="107"/>
      <c r="N373" s="106"/>
      <c r="O373" s="12"/>
      <c r="P373" s="13"/>
      <c r="Q373" s="12"/>
      <c r="R373" s="106"/>
      <c r="S373" s="107"/>
      <c r="T373" s="106"/>
      <c r="U373" s="12"/>
      <c r="V373" s="12"/>
      <c r="W373" s="12"/>
      <c r="X373" s="14"/>
      <c r="Y373" s="10"/>
      <c r="Z373" s="10"/>
      <c r="AA373" s="16">
        <f t="shared" ref="AA373:AA379" si="63">SUM(I373*J373)+(L373*M373)+(O373*P373)+(R373*S373)+(U373*V373)+(X373*Y373)</f>
        <v>0</v>
      </c>
      <c r="AB373" s="17" t="e">
        <f t="shared" si="62"/>
        <v>#DIV/0!</v>
      </c>
    </row>
    <row r="374" spans="2:28" hidden="1" x14ac:dyDescent="0.2">
      <c r="B374" s="10" t="s">
        <v>61</v>
      </c>
      <c r="C374" s="10"/>
      <c r="D374" s="10"/>
      <c r="E374" s="10"/>
      <c r="F374" s="10"/>
      <c r="G374" s="10"/>
      <c r="H374" s="10"/>
      <c r="I374" s="12"/>
      <c r="J374" s="13"/>
      <c r="K374" s="12"/>
      <c r="L374" s="106"/>
      <c r="M374" s="107"/>
      <c r="N374" s="106"/>
      <c r="O374" s="12"/>
      <c r="P374" s="13"/>
      <c r="Q374" s="12"/>
      <c r="R374" s="106"/>
      <c r="S374" s="107"/>
      <c r="T374" s="106"/>
      <c r="U374" s="12"/>
      <c r="V374" s="12"/>
      <c r="W374" s="12"/>
      <c r="X374" s="14"/>
      <c r="Y374" s="10"/>
      <c r="Z374" s="10"/>
      <c r="AA374" s="16">
        <f t="shared" si="63"/>
        <v>0</v>
      </c>
      <c r="AB374" s="17" t="e">
        <f t="shared" si="62"/>
        <v>#DIV/0!</v>
      </c>
    </row>
    <row r="375" spans="2:28" hidden="1" x14ac:dyDescent="0.2">
      <c r="B375" s="10" t="s">
        <v>62</v>
      </c>
      <c r="C375" s="10"/>
      <c r="D375" s="10"/>
      <c r="E375" s="10"/>
      <c r="F375" s="10"/>
      <c r="G375" s="10"/>
      <c r="H375" s="10"/>
      <c r="I375" s="12"/>
      <c r="J375" s="13"/>
      <c r="K375" s="12"/>
      <c r="L375" s="106"/>
      <c r="M375" s="107"/>
      <c r="N375" s="106"/>
      <c r="O375" s="12"/>
      <c r="P375" s="13"/>
      <c r="Q375" s="12"/>
      <c r="R375" s="106"/>
      <c r="S375" s="107"/>
      <c r="T375" s="106"/>
      <c r="U375" s="12"/>
      <c r="V375" s="12"/>
      <c r="W375" s="12"/>
      <c r="X375" s="14"/>
      <c r="Y375" s="10"/>
      <c r="Z375" s="10"/>
      <c r="AA375" s="16">
        <f>SUM(I375*J375)+(L375*M375)+(O375*P375)+(R375*S375)+(U375*V375)+(X375*Y375)</f>
        <v>0</v>
      </c>
      <c r="AB375" s="17" t="e">
        <f>AVERAGE(K375,N375,Q375,T375,W375,Z375)</f>
        <v>#DIV/0!</v>
      </c>
    </row>
    <row r="376" spans="2:28" hidden="1" x14ac:dyDescent="0.2">
      <c r="B376" s="10" t="s">
        <v>63</v>
      </c>
      <c r="C376" s="10"/>
      <c r="D376" s="10"/>
      <c r="E376" s="10"/>
      <c r="F376" s="10"/>
      <c r="G376" s="10"/>
      <c r="H376" s="10"/>
      <c r="I376" s="12"/>
      <c r="J376" s="13"/>
      <c r="K376" s="12"/>
      <c r="L376" s="106"/>
      <c r="M376" s="107"/>
      <c r="N376" s="106"/>
      <c r="O376" s="12"/>
      <c r="P376" s="13"/>
      <c r="Q376" s="12"/>
      <c r="R376" s="106"/>
      <c r="S376" s="107"/>
      <c r="T376" s="106"/>
      <c r="U376" s="12"/>
      <c r="V376" s="12"/>
      <c r="W376" s="12"/>
      <c r="X376" s="14"/>
      <c r="Y376" s="10"/>
      <c r="Z376" s="10"/>
      <c r="AA376" s="16">
        <f>SUM(I376*J376)+(L376*M376)+(O376*P376)+(R376*S376)+(U376*V376)+(X376*Y376)</f>
        <v>0</v>
      </c>
      <c r="AB376" s="17" t="e">
        <f>AVERAGE(K376,N376,Q376,T376,W376,Z376)</f>
        <v>#DIV/0!</v>
      </c>
    </row>
    <row r="377" spans="2:28" hidden="1" x14ac:dyDescent="0.2">
      <c r="B377" s="10" t="s">
        <v>64</v>
      </c>
      <c r="C377" s="10"/>
      <c r="D377" s="10"/>
      <c r="E377" s="10"/>
      <c r="F377" s="10"/>
      <c r="G377" s="10"/>
      <c r="H377" s="10"/>
      <c r="I377" s="12"/>
      <c r="J377" s="13"/>
      <c r="K377" s="12"/>
      <c r="L377" s="106"/>
      <c r="M377" s="107"/>
      <c r="N377" s="106"/>
      <c r="O377" s="12"/>
      <c r="P377" s="13"/>
      <c r="Q377" s="12"/>
      <c r="R377" s="106"/>
      <c r="S377" s="107"/>
      <c r="T377" s="106"/>
      <c r="U377" s="12"/>
      <c r="V377" s="12"/>
      <c r="W377" s="12"/>
      <c r="X377" s="14"/>
      <c r="Y377" s="10"/>
      <c r="Z377" s="10"/>
      <c r="AA377" s="16">
        <f>SUM(I377*J377)+(L377*M377)+(O377*P377)+(R377*S377)+(U377*V377)+(X377*Y377)</f>
        <v>0</v>
      </c>
      <c r="AB377" s="17" t="e">
        <f>AVERAGE(K377,N377,Q377,T377,W377,Z377)</f>
        <v>#DIV/0!</v>
      </c>
    </row>
    <row r="378" spans="2:28" hidden="1" x14ac:dyDescent="0.2">
      <c r="B378" s="10" t="s">
        <v>137</v>
      </c>
      <c r="C378" s="10"/>
      <c r="D378" s="10"/>
      <c r="E378" s="10"/>
      <c r="F378" s="10"/>
      <c r="G378" s="10"/>
      <c r="H378" s="10"/>
      <c r="I378" s="12"/>
      <c r="J378" s="13"/>
      <c r="K378" s="12"/>
      <c r="L378" s="106"/>
      <c r="M378" s="107"/>
      <c r="N378" s="106"/>
      <c r="O378" s="12"/>
      <c r="P378" s="13"/>
      <c r="Q378" s="12"/>
      <c r="R378" s="106"/>
      <c r="S378" s="107"/>
      <c r="T378" s="106"/>
      <c r="U378" s="12"/>
      <c r="V378" s="12"/>
      <c r="W378" s="12"/>
      <c r="X378" s="14"/>
      <c r="Y378" s="10"/>
      <c r="Z378" s="10"/>
      <c r="AA378" s="16">
        <f>SUM(I378*J378)+(L378*M378)+(O378*P378)+(R378*S378)+(U378*V378)+(X378*Y378)</f>
        <v>0</v>
      </c>
      <c r="AB378" s="17" t="e">
        <f>AVERAGE(K378,N378,Q378,T378,W378,Z378)</f>
        <v>#DIV/0!</v>
      </c>
    </row>
    <row r="379" spans="2:28" hidden="1" x14ac:dyDescent="0.2">
      <c r="B379" s="10" t="s">
        <v>139</v>
      </c>
      <c r="C379" s="10"/>
      <c r="D379" s="10"/>
      <c r="E379" s="10"/>
      <c r="F379" s="10"/>
      <c r="G379" s="10"/>
      <c r="H379" s="10"/>
      <c r="I379" s="12"/>
      <c r="J379" s="13"/>
      <c r="K379" s="12"/>
      <c r="L379" s="106"/>
      <c r="M379" s="107"/>
      <c r="N379" s="106"/>
      <c r="O379" s="12"/>
      <c r="P379" s="13"/>
      <c r="Q379" s="12"/>
      <c r="R379" s="106"/>
      <c r="S379" s="107"/>
      <c r="T379" s="106"/>
      <c r="U379" s="12"/>
      <c r="V379" s="12"/>
      <c r="W379" s="12"/>
      <c r="X379" s="14"/>
      <c r="Y379" s="10"/>
      <c r="Z379" s="10"/>
      <c r="AA379" s="16">
        <f t="shared" si="63"/>
        <v>0</v>
      </c>
      <c r="AB379" s="17" t="e">
        <f t="shared" si="62"/>
        <v>#DIV/0!</v>
      </c>
    </row>
    <row r="380" spans="2:28" x14ac:dyDescent="0.2">
      <c r="B380" s="125"/>
      <c r="C380" s="125"/>
      <c r="D380" s="125"/>
      <c r="E380" s="125"/>
      <c r="F380" s="125"/>
      <c r="G380" s="125"/>
      <c r="H380" s="125"/>
      <c r="I380" s="125"/>
      <c r="J380" s="126"/>
      <c r="K380" s="125"/>
      <c r="L380" s="125"/>
      <c r="M380" s="126"/>
      <c r="N380" s="125"/>
      <c r="O380" s="125"/>
      <c r="P380" s="126"/>
      <c r="Q380" s="125"/>
      <c r="R380" s="125"/>
      <c r="S380" s="126"/>
      <c r="T380" s="125"/>
      <c r="U380" s="125"/>
      <c r="V380" s="125"/>
      <c r="W380" s="125"/>
      <c r="X380" s="125"/>
      <c r="Y380" s="125"/>
      <c r="Z380" s="125"/>
      <c r="AA380" s="125"/>
      <c r="AB380" s="125"/>
    </row>
    <row r="381" spans="2:28" x14ac:dyDescent="0.2">
      <c r="B381" s="208" t="s">
        <v>142</v>
      </c>
      <c r="C381" s="208"/>
      <c r="D381" s="208"/>
      <c r="E381" s="208"/>
      <c r="F381" s="208"/>
      <c r="G381" s="208"/>
      <c r="H381" s="208"/>
      <c r="I381" s="206">
        <f>SUM(AA295+AA306+AA328+AA339+AA350+AA361+AA372+AA317)</f>
        <v>3234</v>
      </c>
      <c r="J381" s="207"/>
      <c r="K381" s="207"/>
      <c r="L381" s="208" t="s">
        <v>143</v>
      </c>
      <c r="M381" s="208"/>
      <c r="N381" s="208"/>
      <c r="O381" s="208"/>
      <c r="P381" s="208"/>
      <c r="Q381" s="206">
        <f>SUM(AA296+AA307+AA318+AA329+AA340+AA351+AA362+AA373)</f>
        <v>5240</v>
      </c>
      <c r="R381" s="207"/>
      <c r="S381" s="207"/>
      <c r="T381" s="216" t="s">
        <v>144</v>
      </c>
      <c r="U381" s="216"/>
      <c r="V381" s="216"/>
      <c r="W381" s="216"/>
      <c r="X381" s="216"/>
      <c r="Y381" s="216"/>
      <c r="Z381" s="216"/>
      <c r="AA381" s="216"/>
      <c r="AB381" s="216"/>
    </row>
    <row r="382" spans="2:28" x14ac:dyDescent="0.2">
      <c r="B382" s="208" t="s">
        <v>145</v>
      </c>
      <c r="C382" s="208"/>
      <c r="D382" s="208"/>
      <c r="E382" s="208"/>
      <c r="F382" s="208"/>
      <c r="G382" s="208"/>
      <c r="H382" s="208"/>
      <c r="I382" s="206">
        <f>SUM(AA297+AA308+AA319+AA330+AA341+AA352+AA363+AA374)</f>
        <v>6440</v>
      </c>
      <c r="J382" s="207"/>
      <c r="K382" s="207"/>
      <c r="L382" s="208" t="s">
        <v>146</v>
      </c>
      <c r="M382" s="208"/>
      <c r="N382" s="208"/>
      <c r="O382" s="208"/>
      <c r="P382" s="208"/>
      <c r="Q382" s="206">
        <f>SUM(AA298+AA309+AA320+AA331+AA342+AA353+AA364+AA375)</f>
        <v>3890</v>
      </c>
      <c r="R382" s="207"/>
      <c r="S382" s="207"/>
      <c r="T382" s="206">
        <f>SUM(I381+Q381+I382+Q382+I383+Q383+I384+Q384)</f>
        <v>18804</v>
      </c>
      <c r="U382" s="207"/>
      <c r="V382" s="207"/>
      <c r="W382" s="207"/>
      <c r="X382" s="207"/>
      <c r="Y382" s="207"/>
      <c r="Z382" s="207"/>
      <c r="AA382" s="207"/>
      <c r="AB382" s="207"/>
    </row>
    <row r="383" spans="2:28" x14ac:dyDescent="0.2">
      <c r="B383" s="208" t="s">
        <v>147</v>
      </c>
      <c r="C383" s="208"/>
      <c r="D383" s="208"/>
      <c r="E383" s="208"/>
      <c r="F383" s="208"/>
      <c r="G383" s="208"/>
      <c r="H383" s="208"/>
      <c r="I383" s="206">
        <f>SUM(AA299+AA310+AA321+AA332+AA343+AA354+AA365+AA376)</f>
        <v>0</v>
      </c>
      <c r="J383" s="207"/>
      <c r="K383" s="207"/>
      <c r="L383" s="208" t="s">
        <v>148</v>
      </c>
      <c r="M383" s="208"/>
      <c r="N383" s="208"/>
      <c r="O383" s="208"/>
      <c r="P383" s="208"/>
      <c r="Q383" s="206">
        <f>SUM(AA300+AA311+AA322+AA333+AA344+AA355+AA366+AA377)</f>
        <v>0</v>
      </c>
      <c r="R383" s="207"/>
      <c r="S383" s="207"/>
      <c r="T383" s="149"/>
      <c r="U383" s="149"/>
      <c r="V383" s="149"/>
      <c r="W383" s="149"/>
      <c r="X383" s="149"/>
      <c r="Y383" s="149"/>
      <c r="Z383" s="149"/>
      <c r="AA383" s="149"/>
      <c r="AB383" s="149"/>
    </row>
    <row r="384" spans="2:28" x14ac:dyDescent="0.2">
      <c r="B384" s="208" t="s">
        <v>149</v>
      </c>
      <c r="C384" s="208"/>
      <c r="D384" s="208"/>
      <c r="E384" s="208"/>
      <c r="F384" s="208"/>
      <c r="G384" s="208"/>
      <c r="H384" s="208"/>
      <c r="I384" s="206">
        <f>SUM(AA301+AA312+AA323+AA334+AA345+AA356+AA367+AA378)</f>
        <v>0</v>
      </c>
      <c r="J384" s="207"/>
      <c r="K384" s="207"/>
      <c r="L384" s="208" t="s">
        <v>150</v>
      </c>
      <c r="M384" s="208"/>
      <c r="N384" s="208"/>
      <c r="O384" s="208"/>
      <c r="P384" s="208"/>
      <c r="Q384" s="206">
        <f>SUM(AA302+AA313+AA324+AA335+AA346+AA357+AA368+AA379)</f>
        <v>0</v>
      </c>
      <c r="R384" s="207"/>
      <c r="S384" s="207"/>
      <c r="T384" s="149"/>
      <c r="U384" s="149"/>
      <c r="V384" s="149"/>
      <c r="W384" s="149"/>
      <c r="X384" s="149"/>
      <c r="Y384" s="149"/>
      <c r="Z384" s="149"/>
      <c r="AA384" s="149"/>
      <c r="AB384" s="149"/>
    </row>
    <row r="385" spans="1:28" ht="9" hidden="1" customHeight="1" x14ac:dyDescent="0.2">
      <c r="B385" s="211" t="str">
        <f>'Exercise Selection'!B14</f>
        <v>Session 5</v>
      </c>
      <c r="C385" s="211"/>
      <c r="D385" s="211"/>
      <c r="E385" s="211"/>
      <c r="F385" s="211"/>
      <c r="G385" s="211"/>
      <c r="H385" s="211"/>
      <c r="I385" s="211"/>
      <c r="J385" s="211"/>
      <c r="K385" s="211"/>
      <c r="L385" s="211"/>
      <c r="M385" s="211"/>
      <c r="N385" s="211"/>
      <c r="O385" s="211"/>
      <c r="P385" s="211"/>
      <c r="Q385" s="211"/>
      <c r="R385" s="211"/>
      <c r="S385" s="211"/>
      <c r="T385" s="211"/>
      <c r="U385" s="211"/>
      <c r="V385" s="211"/>
      <c r="W385" s="211"/>
      <c r="X385" s="211"/>
      <c r="Y385" s="211"/>
      <c r="Z385" s="211"/>
      <c r="AA385" s="211"/>
      <c r="AB385" s="211"/>
    </row>
    <row r="386" spans="1:28" ht="9" hidden="1" customHeight="1" x14ac:dyDescent="0.2">
      <c r="B386" s="211"/>
      <c r="C386" s="211"/>
      <c r="D386" s="211"/>
      <c r="E386" s="211"/>
      <c r="F386" s="211"/>
      <c r="G386" s="211"/>
      <c r="H386" s="211"/>
      <c r="I386" s="211"/>
      <c r="J386" s="211"/>
      <c r="K386" s="211"/>
      <c r="L386" s="211"/>
      <c r="M386" s="211"/>
      <c r="N386" s="211"/>
      <c r="O386" s="211"/>
      <c r="P386" s="211"/>
      <c r="Q386" s="211"/>
      <c r="R386" s="211"/>
      <c r="S386" s="211"/>
      <c r="T386" s="211"/>
      <c r="U386" s="211"/>
      <c r="V386" s="211"/>
      <c r="W386" s="211"/>
      <c r="X386" s="211"/>
      <c r="Y386" s="211"/>
      <c r="Z386" s="211"/>
      <c r="AA386" s="211"/>
      <c r="AB386" s="211"/>
    </row>
    <row r="387" spans="1:28" ht="9" hidden="1" customHeight="1" x14ac:dyDescent="0.2">
      <c r="B387" s="211"/>
      <c r="C387" s="211"/>
      <c r="D387" s="211"/>
      <c r="E387" s="211"/>
      <c r="F387" s="211"/>
      <c r="G387" s="211"/>
      <c r="H387" s="211"/>
      <c r="I387" s="211"/>
      <c r="J387" s="211"/>
      <c r="K387" s="211"/>
      <c r="L387" s="211"/>
      <c r="M387" s="211"/>
      <c r="N387" s="211"/>
      <c r="O387" s="211"/>
      <c r="P387" s="211"/>
      <c r="Q387" s="211"/>
      <c r="R387" s="211"/>
      <c r="S387" s="211"/>
      <c r="T387" s="211"/>
      <c r="U387" s="211"/>
      <c r="V387" s="211"/>
      <c r="W387" s="211"/>
      <c r="X387" s="211"/>
      <c r="Y387" s="211"/>
      <c r="Z387" s="211"/>
      <c r="AA387" s="211"/>
      <c r="AB387" s="211"/>
    </row>
    <row r="388" spans="1:28" hidden="1" x14ac:dyDescent="0.2">
      <c r="B388" s="214" t="str">
        <f>'Exercise Selection'!B15</f>
        <v>(A1) Five</v>
      </c>
      <c r="C388" s="215"/>
      <c r="D388" s="215"/>
      <c r="E388" s="215"/>
      <c r="F388" s="215"/>
      <c r="G388" s="215"/>
      <c r="H388" s="215"/>
      <c r="I388" s="202" t="s">
        <v>119</v>
      </c>
      <c r="J388" s="203"/>
      <c r="K388" s="203"/>
      <c r="L388" s="202" t="s">
        <v>120</v>
      </c>
      <c r="M388" s="203"/>
      <c r="N388" s="203"/>
      <c r="O388" s="202" t="s">
        <v>121</v>
      </c>
      <c r="P388" s="203"/>
      <c r="Q388" s="203"/>
      <c r="R388" s="202" t="s">
        <v>122</v>
      </c>
      <c r="S388" s="203"/>
      <c r="T388" s="203"/>
      <c r="U388" s="202" t="s">
        <v>123</v>
      </c>
      <c r="V388" s="203"/>
      <c r="W388" s="203"/>
      <c r="X388" s="202" t="s">
        <v>124</v>
      </c>
      <c r="Y388" s="203"/>
      <c r="Z388" s="203"/>
      <c r="AA388" s="202" t="s">
        <v>126</v>
      </c>
      <c r="AB388" s="212" t="s">
        <v>127</v>
      </c>
    </row>
    <row r="389" spans="1:28" hidden="1" x14ac:dyDescent="0.2">
      <c r="A389" s="18" t="s">
        <v>170</v>
      </c>
      <c r="B389" s="204"/>
      <c r="C389" s="205"/>
      <c r="D389" s="205"/>
      <c r="E389" s="205"/>
      <c r="F389" s="205"/>
      <c r="G389" s="205"/>
      <c r="H389" s="205"/>
      <c r="I389" s="148"/>
      <c r="J389" s="148"/>
      <c r="K389" s="148"/>
      <c r="L389" s="148"/>
      <c r="M389" s="148"/>
      <c r="N389" s="148"/>
      <c r="O389" s="148"/>
      <c r="P389" s="148"/>
      <c r="Q389" s="148"/>
      <c r="R389" s="148"/>
      <c r="S389" s="148"/>
      <c r="T389" s="148"/>
      <c r="U389" s="148"/>
      <c r="V389" s="148"/>
      <c r="W389" s="148"/>
      <c r="X389" s="148"/>
      <c r="Y389" s="148"/>
      <c r="Z389" s="148"/>
      <c r="AA389" s="203"/>
      <c r="AB389" s="213"/>
    </row>
    <row r="390" spans="1:28" s="111" customFormat="1" hidden="1" x14ac:dyDescent="0.2">
      <c r="B390" s="89" t="s">
        <v>128</v>
      </c>
      <c r="C390" s="90" t="s">
        <v>129</v>
      </c>
      <c r="D390" s="90" t="s">
        <v>38</v>
      </c>
      <c r="E390" s="90" t="s">
        <v>130</v>
      </c>
      <c r="F390" s="90" t="s">
        <v>131</v>
      </c>
      <c r="G390" s="91" t="s">
        <v>132</v>
      </c>
      <c r="H390" s="81" t="s">
        <v>133</v>
      </c>
      <c r="I390" s="83" t="s">
        <v>134</v>
      </c>
      <c r="J390" s="83" t="s">
        <v>135</v>
      </c>
      <c r="K390" s="83" t="s">
        <v>133</v>
      </c>
      <c r="L390" s="83" t="s">
        <v>134</v>
      </c>
      <c r="M390" s="83" t="s">
        <v>135</v>
      </c>
      <c r="N390" s="83" t="s">
        <v>133</v>
      </c>
      <c r="O390" s="83" t="s">
        <v>134</v>
      </c>
      <c r="P390" s="83" t="s">
        <v>135</v>
      </c>
      <c r="Q390" s="83" t="s">
        <v>133</v>
      </c>
      <c r="R390" s="83" t="s">
        <v>134</v>
      </c>
      <c r="S390" s="83" t="s">
        <v>135</v>
      </c>
      <c r="T390" s="83" t="s">
        <v>133</v>
      </c>
      <c r="U390" s="83" t="s">
        <v>134</v>
      </c>
      <c r="V390" s="83" t="s">
        <v>135</v>
      </c>
      <c r="W390" s="83" t="s">
        <v>133</v>
      </c>
      <c r="X390" s="83" t="s">
        <v>134</v>
      </c>
      <c r="Y390" s="83" t="s">
        <v>135</v>
      </c>
      <c r="Z390" s="84" t="s">
        <v>133</v>
      </c>
      <c r="AA390" s="203"/>
      <c r="AB390" s="213"/>
    </row>
    <row r="391" spans="1:28" hidden="1" x14ac:dyDescent="0.2">
      <c r="B391" s="10" t="s">
        <v>59</v>
      </c>
      <c r="C391" s="97"/>
      <c r="D391" s="93"/>
      <c r="E391" s="86"/>
      <c r="F391" s="86"/>
      <c r="G391" s="86"/>
      <c r="H391" s="86"/>
      <c r="I391" s="12"/>
      <c r="J391" s="13"/>
      <c r="K391" s="12"/>
      <c r="L391" s="106"/>
      <c r="M391" s="107"/>
      <c r="N391" s="106"/>
      <c r="O391" s="12"/>
      <c r="P391" s="13"/>
      <c r="Q391" s="12"/>
      <c r="R391" s="106"/>
      <c r="S391" s="107"/>
      <c r="T391" s="106"/>
      <c r="U391" s="33"/>
      <c r="V391" s="34"/>
      <c r="W391" s="33"/>
      <c r="X391" s="14"/>
      <c r="Y391" s="10"/>
      <c r="Z391" s="10"/>
      <c r="AA391" s="37">
        <f t="shared" ref="AA391:AA398" si="64">SUM(I391*J391)+(L391*M391)+(O391*P391)+(R391*S391)+(U391*V391)+(X391*Y391)</f>
        <v>0</v>
      </c>
      <c r="AB391" s="17" t="e">
        <f t="shared" ref="AB391:AB398" si="65">AVERAGE(K391,N391,Q391,T391,W391,Z391)</f>
        <v>#DIV/0!</v>
      </c>
    </row>
    <row r="392" spans="1:28" hidden="1" x14ac:dyDescent="0.2">
      <c r="B392" s="10" t="s">
        <v>60</v>
      </c>
      <c r="C392" s="98"/>
      <c r="D392" s="93"/>
      <c r="E392" s="86"/>
      <c r="F392" s="86"/>
      <c r="G392" s="86"/>
      <c r="H392" s="86"/>
      <c r="I392" s="12"/>
      <c r="J392" s="13"/>
      <c r="K392" s="12"/>
      <c r="L392" s="106"/>
      <c r="M392" s="107"/>
      <c r="N392" s="106"/>
      <c r="O392" s="12"/>
      <c r="P392" s="13"/>
      <c r="Q392" s="12"/>
      <c r="R392" s="106"/>
      <c r="S392" s="107"/>
      <c r="T392" s="106"/>
      <c r="U392" s="33"/>
      <c r="V392" s="33"/>
      <c r="W392" s="33"/>
      <c r="X392" s="14"/>
      <c r="Y392" s="10"/>
      <c r="Z392" s="10"/>
      <c r="AA392" s="38">
        <f t="shared" si="64"/>
        <v>0</v>
      </c>
      <c r="AB392" s="17" t="e">
        <f t="shared" si="65"/>
        <v>#DIV/0!</v>
      </c>
    </row>
    <row r="393" spans="1:28" hidden="1" x14ac:dyDescent="0.2">
      <c r="B393" s="10" t="s">
        <v>61</v>
      </c>
      <c r="C393" s="98"/>
      <c r="D393" s="94"/>
      <c r="E393" s="87"/>
      <c r="F393" s="87"/>
      <c r="G393" s="87"/>
      <c r="H393" s="87"/>
      <c r="I393" s="12"/>
      <c r="J393" s="13"/>
      <c r="K393" s="12"/>
      <c r="L393" s="106"/>
      <c r="M393" s="107"/>
      <c r="N393" s="106"/>
      <c r="O393" s="12"/>
      <c r="P393" s="13"/>
      <c r="Q393" s="12"/>
      <c r="R393" s="106"/>
      <c r="S393" s="107"/>
      <c r="T393" s="106"/>
      <c r="U393" s="33"/>
      <c r="V393" s="33"/>
      <c r="W393" s="33"/>
      <c r="X393" s="14"/>
      <c r="Y393" s="10"/>
      <c r="Z393" s="10"/>
      <c r="AA393" s="38">
        <f t="shared" si="64"/>
        <v>0</v>
      </c>
      <c r="AB393" s="17" t="e">
        <f t="shared" si="65"/>
        <v>#DIV/0!</v>
      </c>
    </row>
    <row r="394" spans="1:28" hidden="1" x14ac:dyDescent="0.2">
      <c r="B394" s="10" t="s">
        <v>62</v>
      </c>
      <c r="C394" s="97"/>
      <c r="D394" s="97"/>
      <c r="E394" s="105"/>
      <c r="F394" s="105"/>
      <c r="G394" s="105"/>
      <c r="H394" s="88"/>
      <c r="I394" s="12"/>
      <c r="J394" s="13"/>
      <c r="K394" s="12"/>
      <c r="L394" s="106"/>
      <c r="M394" s="107"/>
      <c r="N394" s="106"/>
      <c r="O394" s="12"/>
      <c r="P394" s="13"/>
      <c r="Q394" s="12"/>
      <c r="R394" s="106"/>
      <c r="S394" s="107"/>
      <c r="T394" s="106"/>
      <c r="U394" s="33"/>
      <c r="V394" s="33"/>
      <c r="W394" s="33"/>
      <c r="X394" s="14"/>
      <c r="Y394" s="10"/>
      <c r="Z394" s="10"/>
      <c r="AA394" s="38">
        <f t="shared" si="64"/>
        <v>0</v>
      </c>
      <c r="AB394" s="17" t="e">
        <f t="shared" si="65"/>
        <v>#DIV/0!</v>
      </c>
    </row>
    <row r="395" spans="1:28" hidden="1" x14ac:dyDescent="0.2">
      <c r="B395" s="10" t="s">
        <v>63</v>
      </c>
      <c r="C395" s="10"/>
      <c r="D395" s="110"/>
      <c r="E395" s="10"/>
      <c r="F395" s="10"/>
      <c r="G395" s="10"/>
      <c r="H395" s="104"/>
      <c r="I395" s="12"/>
      <c r="J395" s="13"/>
      <c r="K395" s="12"/>
      <c r="L395" s="106"/>
      <c r="M395" s="107"/>
      <c r="N395" s="106"/>
      <c r="O395" s="12"/>
      <c r="P395" s="13"/>
      <c r="Q395" s="12"/>
      <c r="R395" s="106"/>
      <c r="S395" s="107"/>
      <c r="T395" s="106"/>
      <c r="U395" s="35"/>
      <c r="V395" s="35"/>
      <c r="W395" s="35"/>
      <c r="X395" s="20"/>
      <c r="Y395" s="11"/>
      <c r="Z395" s="11"/>
      <c r="AA395" s="38">
        <f t="shared" si="64"/>
        <v>0</v>
      </c>
      <c r="AB395" s="17" t="e">
        <f t="shared" si="65"/>
        <v>#DIV/0!</v>
      </c>
    </row>
    <row r="396" spans="1:28" hidden="1" x14ac:dyDescent="0.2">
      <c r="B396" s="10" t="s">
        <v>64</v>
      </c>
      <c r="C396" s="105"/>
      <c r="D396" s="110"/>
      <c r="E396" s="10"/>
      <c r="F396" s="105"/>
      <c r="G396" s="10"/>
      <c r="H396" s="88"/>
      <c r="I396" s="12"/>
      <c r="J396" s="13"/>
      <c r="K396" s="12"/>
      <c r="L396" s="106"/>
      <c r="M396" s="107"/>
      <c r="N396" s="106"/>
      <c r="O396" s="12"/>
      <c r="P396" s="13"/>
      <c r="Q396" s="12"/>
      <c r="R396" s="106"/>
      <c r="S396" s="107"/>
      <c r="T396" s="106"/>
      <c r="U396" s="35"/>
      <c r="V396" s="35"/>
      <c r="W396" s="35"/>
      <c r="X396" s="20"/>
      <c r="Y396" s="11"/>
      <c r="Z396" s="11"/>
      <c r="AA396" s="38">
        <f t="shared" si="64"/>
        <v>0</v>
      </c>
      <c r="AB396" s="17" t="e">
        <f t="shared" si="65"/>
        <v>#DIV/0!</v>
      </c>
    </row>
    <row r="397" spans="1:28" hidden="1" x14ac:dyDescent="0.2">
      <c r="B397" s="10" t="s">
        <v>137</v>
      </c>
      <c r="C397" s="11"/>
      <c r="D397" s="11"/>
      <c r="E397" s="11"/>
      <c r="F397" s="11"/>
      <c r="G397" s="11"/>
      <c r="H397" s="11"/>
      <c r="I397" s="12"/>
      <c r="J397" s="13"/>
      <c r="K397" s="12"/>
      <c r="L397" s="106"/>
      <c r="M397" s="107"/>
      <c r="N397" s="106"/>
      <c r="O397" s="12"/>
      <c r="P397" s="13"/>
      <c r="Q397" s="12"/>
      <c r="R397" s="106"/>
      <c r="S397" s="107"/>
      <c r="T397" s="106"/>
      <c r="U397" s="35"/>
      <c r="V397" s="35"/>
      <c r="W397" s="35"/>
      <c r="X397" s="20"/>
      <c r="Y397" s="11"/>
      <c r="Z397" s="11"/>
      <c r="AA397" s="38">
        <f t="shared" si="64"/>
        <v>0</v>
      </c>
      <c r="AB397" s="17" t="e">
        <f t="shared" si="65"/>
        <v>#DIV/0!</v>
      </c>
    </row>
    <row r="398" spans="1:28" hidden="1" x14ac:dyDescent="0.2">
      <c r="B398" s="10" t="s">
        <v>139</v>
      </c>
      <c r="C398" s="11"/>
      <c r="D398" s="11"/>
      <c r="E398" s="11"/>
      <c r="F398" s="11"/>
      <c r="G398" s="11"/>
      <c r="H398" s="11"/>
      <c r="I398" s="12"/>
      <c r="J398" s="13"/>
      <c r="K398" s="12"/>
      <c r="L398" s="106"/>
      <c r="M398" s="107"/>
      <c r="N398" s="106"/>
      <c r="O398" s="12"/>
      <c r="P398" s="13"/>
      <c r="Q398" s="12"/>
      <c r="R398" s="106"/>
      <c r="S398" s="107"/>
      <c r="T398" s="106"/>
      <c r="U398" s="35"/>
      <c r="V398" s="35"/>
      <c r="W398" s="35"/>
      <c r="X398" s="20"/>
      <c r="Y398" s="11"/>
      <c r="Z398" s="11"/>
      <c r="AA398" s="39">
        <f t="shared" si="64"/>
        <v>0</v>
      </c>
      <c r="AB398" s="17" t="e">
        <f t="shared" si="65"/>
        <v>#DIV/0!</v>
      </c>
    </row>
    <row r="399" spans="1:28" hidden="1" x14ac:dyDescent="0.2">
      <c r="B399" s="214" t="str">
        <f>'Exercise Selection'!B16</f>
        <v>(A2) Five</v>
      </c>
      <c r="C399" s="215"/>
      <c r="D399" s="215"/>
      <c r="E399" s="215"/>
      <c r="F399" s="215"/>
      <c r="G399" s="215"/>
      <c r="H399" s="215"/>
      <c r="I399" s="202" t="s">
        <v>119</v>
      </c>
      <c r="J399" s="203"/>
      <c r="K399" s="203"/>
      <c r="L399" s="202" t="s">
        <v>120</v>
      </c>
      <c r="M399" s="203"/>
      <c r="N399" s="203"/>
      <c r="O399" s="202" t="s">
        <v>121</v>
      </c>
      <c r="P399" s="203"/>
      <c r="Q399" s="203"/>
      <c r="R399" s="202" t="s">
        <v>122</v>
      </c>
      <c r="S399" s="203"/>
      <c r="T399" s="203"/>
      <c r="U399" s="202" t="s">
        <v>123</v>
      </c>
      <c r="V399" s="203"/>
      <c r="W399" s="203"/>
      <c r="X399" s="202" t="s">
        <v>124</v>
      </c>
      <c r="Y399" s="203"/>
      <c r="Z399" s="203"/>
      <c r="AA399" s="202" t="s">
        <v>126</v>
      </c>
      <c r="AB399" s="212" t="s">
        <v>127</v>
      </c>
    </row>
    <row r="400" spans="1:28" hidden="1" x14ac:dyDescent="0.2">
      <c r="B400" s="202"/>
      <c r="C400" s="203"/>
      <c r="D400" s="203"/>
      <c r="E400" s="203"/>
      <c r="F400" s="203"/>
      <c r="G400" s="203"/>
      <c r="H400" s="203"/>
      <c r="I400" s="148"/>
      <c r="J400" s="148"/>
      <c r="K400" s="148"/>
      <c r="L400" s="148"/>
      <c r="M400" s="148"/>
      <c r="N400" s="148"/>
      <c r="O400" s="148"/>
      <c r="P400" s="148"/>
      <c r="Q400" s="148"/>
      <c r="R400" s="148"/>
      <c r="S400" s="148"/>
      <c r="T400" s="148"/>
      <c r="U400" s="148"/>
      <c r="V400" s="148"/>
      <c r="W400" s="148"/>
      <c r="X400" s="148"/>
      <c r="Y400" s="148"/>
      <c r="Z400" s="148"/>
      <c r="AA400" s="203"/>
      <c r="AB400" s="213"/>
    </row>
    <row r="401" spans="2:28" s="111" customFormat="1" hidden="1" x14ac:dyDescent="0.2">
      <c r="B401" s="89" t="s">
        <v>128</v>
      </c>
      <c r="C401" s="90" t="s">
        <v>129</v>
      </c>
      <c r="D401" s="90" t="s">
        <v>38</v>
      </c>
      <c r="E401" s="90" t="s">
        <v>130</v>
      </c>
      <c r="F401" s="90" t="s">
        <v>131</v>
      </c>
      <c r="G401" s="91" t="s">
        <v>132</v>
      </c>
      <c r="H401" s="81" t="s">
        <v>133</v>
      </c>
      <c r="I401" s="83" t="s">
        <v>134</v>
      </c>
      <c r="J401" s="83" t="s">
        <v>135</v>
      </c>
      <c r="K401" s="83" t="s">
        <v>133</v>
      </c>
      <c r="L401" s="83" t="s">
        <v>134</v>
      </c>
      <c r="M401" s="83" t="s">
        <v>135</v>
      </c>
      <c r="N401" s="83" t="s">
        <v>133</v>
      </c>
      <c r="O401" s="83" t="s">
        <v>134</v>
      </c>
      <c r="P401" s="83" t="s">
        <v>135</v>
      </c>
      <c r="Q401" s="83" t="s">
        <v>133</v>
      </c>
      <c r="R401" s="83" t="s">
        <v>134</v>
      </c>
      <c r="S401" s="83" t="s">
        <v>135</v>
      </c>
      <c r="T401" s="83" t="s">
        <v>133</v>
      </c>
      <c r="U401" s="83" t="s">
        <v>134</v>
      </c>
      <c r="V401" s="83" t="s">
        <v>135</v>
      </c>
      <c r="W401" s="83" t="s">
        <v>133</v>
      </c>
      <c r="X401" s="83" t="s">
        <v>134</v>
      </c>
      <c r="Y401" s="83" t="s">
        <v>135</v>
      </c>
      <c r="Z401" s="84" t="s">
        <v>133</v>
      </c>
      <c r="AA401" s="203"/>
      <c r="AB401" s="213"/>
    </row>
    <row r="402" spans="2:28" hidden="1" x14ac:dyDescent="0.2">
      <c r="B402" s="10" t="s">
        <v>59</v>
      </c>
      <c r="C402" s="97"/>
      <c r="D402" s="92"/>
      <c r="E402" s="92"/>
      <c r="F402" s="92"/>
      <c r="G402" s="92"/>
      <c r="H402" s="10"/>
      <c r="I402" s="12"/>
      <c r="J402" s="13"/>
      <c r="K402" s="12"/>
      <c r="L402" s="106"/>
      <c r="M402" s="107"/>
      <c r="N402" s="106"/>
      <c r="O402" s="12"/>
      <c r="P402" s="13"/>
      <c r="Q402" s="12"/>
      <c r="R402" s="106"/>
      <c r="S402" s="107"/>
      <c r="T402" s="106"/>
      <c r="U402" s="33"/>
      <c r="V402" s="34"/>
      <c r="W402" s="33"/>
      <c r="X402" s="14"/>
      <c r="Y402" s="10"/>
      <c r="Z402" s="10"/>
      <c r="AA402" s="37">
        <f>SUM(I402*J402)+(L402*M402)+(O402*P402)+(R402*S402)+(U402*V402)+(X402*Y402)</f>
        <v>0</v>
      </c>
      <c r="AB402" s="17" t="e">
        <f>AVERAGE(K402,N402,Q402,T402,W402,Z402)</f>
        <v>#DIV/0!</v>
      </c>
    </row>
    <row r="403" spans="2:28" hidden="1" x14ac:dyDescent="0.2">
      <c r="B403" s="10" t="s">
        <v>60</v>
      </c>
      <c r="C403" s="98"/>
      <c r="D403" s="86"/>
      <c r="E403" s="86"/>
      <c r="F403" s="86"/>
      <c r="G403" s="86"/>
      <c r="H403" s="10"/>
      <c r="I403" s="12"/>
      <c r="J403" s="13"/>
      <c r="K403" s="12"/>
      <c r="L403" s="106"/>
      <c r="M403" s="107"/>
      <c r="N403" s="106"/>
      <c r="O403" s="12"/>
      <c r="P403" s="13"/>
      <c r="Q403" s="12"/>
      <c r="R403" s="106"/>
      <c r="S403" s="107"/>
      <c r="T403" s="106"/>
      <c r="U403" s="33"/>
      <c r="V403" s="33"/>
      <c r="W403" s="33"/>
      <c r="X403" s="14"/>
      <c r="Y403" s="10"/>
      <c r="Z403" s="10"/>
      <c r="AA403" s="38">
        <f t="shared" ref="AA403:AA409" si="66">SUM(I403*J403)+(L403*M403)+(O403*P403)+(R403*S403)+(U403*V403)+(X403*Y403)</f>
        <v>0</v>
      </c>
      <c r="AB403" s="17" t="e">
        <f t="shared" ref="AB403:AB409" si="67">AVERAGE(K403,N403,Q403,T403,W403,Z403)</f>
        <v>#DIV/0!</v>
      </c>
    </row>
    <row r="404" spans="2:28" hidden="1" x14ac:dyDescent="0.2">
      <c r="B404" s="10" t="s">
        <v>61</v>
      </c>
      <c r="C404" s="98"/>
      <c r="D404" s="86"/>
      <c r="E404" s="86"/>
      <c r="F404" s="86"/>
      <c r="G404" s="86"/>
      <c r="H404" s="10"/>
      <c r="I404" s="12"/>
      <c r="J404" s="13"/>
      <c r="K404" s="12"/>
      <c r="L404" s="106"/>
      <c r="M404" s="107"/>
      <c r="N404" s="106"/>
      <c r="O404" s="12"/>
      <c r="P404" s="13"/>
      <c r="Q404" s="12"/>
      <c r="R404" s="106"/>
      <c r="S404" s="107"/>
      <c r="T404" s="106"/>
      <c r="U404" s="33"/>
      <c r="V404" s="33"/>
      <c r="W404" s="33"/>
      <c r="X404" s="14"/>
      <c r="Y404" s="10"/>
      <c r="Z404" s="10"/>
      <c r="AA404" s="38">
        <f t="shared" si="66"/>
        <v>0</v>
      </c>
      <c r="AB404" s="17" t="e">
        <f t="shared" si="67"/>
        <v>#DIV/0!</v>
      </c>
    </row>
    <row r="405" spans="2:28" hidden="1" x14ac:dyDescent="0.2">
      <c r="B405" s="10" t="s">
        <v>62</v>
      </c>
      <c r="C405" s="97"/>
      <c r="D405" s="105"/>
      <c r="E405" s="105"/>
      <c r="F405" s="105"/>
      <c r="G405" s="87"/>
      <c r="H405" s="11"/>
      <c r="I405" s="12"/>
      <c r="J405" s="13"/>
      <c r="K405" s="12"/>
      <c r="L405" s="106"/>
      <c r="M405" s="107"/>
      <c r="N405" s="106"/>
      <c r="O405" s="12"/>
      <c r="P405" s="13"/>
      <c r="Q405" s="12"/>
      <c r="R405" s="106"/>
      <c r="S405" s="107"/>
      <c r="T405" s="106"/>
      <c r="U405" s="35"/>
      <c r="V405" s="35"/>
      <c r="W405" s="35"/>
      <c r="X405" s="20"/>
      <c r="Y405" s="11"/>
      <c r="Z405" s="11"/>
      <c r="AA405" s="38">
        <f>SUM(I405*J405)+(L405*M405)+(O405*P405)+(R405*S405)+(U405*V405)+(X405*Y405)</f>
        <v>0</v>
      </c>
      <c r="AB405" s="17" t="e">
        <f>AVERAGE(K405,N405,Q405,T405,W405,Z405)</f>
        <v>#DIV/0!</v>
      </c>
    </row>
    <row r="406" spans="2:28" hidden="1" x14ac:dyDescent="0.2">
      <c r="B406" s="10" t="s">
        <v>63</v>
      </c>
      <c r="C406" s="10"/>
      <c r="D406" s="105"/>
      <c r="E406" s="105"/>
      <c r="F406" s="105"/>
      <c r="G406" s="88"/>
      <c r="H406" s="11"/>
      <c r="I406" s="12"/>
      <c r="J406" s="13"/>
      <c r="K406" s="12"/>
      <c r="L406" s="106"/>
      <c r="M406" s="107"/>
      <c r="N406" s="106"/>
      <c r="O406" s="12"/>
      <c r="P406" s="13"/>
      <c r="Q406" s="12"/>
      <c r="R406" s="106"/>
      <c r="S406" s="107"/>
      <c r="T406" s="106"/>
      <c r="U406" s="35"/>
      <c r="V406" s="35"/>
      <c r="W406" s="35"/>
      <c r="X406" s="20"/>
      <c r="Y406" s="11"/>
      <c r="Z406" s="11"/>
      <c r="AA406" s="38">
        <f>SUM(I406*J406)+(L406*M406)+(O406*P406)+(R406*S406)+(U406*V406)+(X406*Y406)</f>
        <v>0</v>
      </c>
      <c r="AB406" s="17" t="e">
        <f>AVERAGE(K406,N406,Q406,T406,W406,Z406)</f>
        <v>#DIV/0!</v>
      </c>
    </row>
    <row r="407" spans="2:28" hidden="1" x14ac:dyDescent="0.2">
      <c r="B407" s="10" t="s">
        <v>64</v>
      </c>
      <c r="C407" s="105"/>
      <c r="D407" s="110"/>
      <c r="E407" s="10"/>
      <c r="F407" s="105"/>
      <c r="G407" s="11"/>
      <c r="H407" s="88"/>
      <c r="I407" s="12"/>
      <c r="J407" s="13"/>
      <c r="K407" s="12"/>
      <c r="L407" s="106"/>
      <c r="M407" s="107"/>
      <c r="N407" s="106"/>
      <c r="O407" s="12"/>
      <c r="P407" s="13"/>
      <c r="Q407" s="12"/>
      <c r="R407" s="106"/>
      <c r="S407" s="107"/>
      <c r="T407" s="106"/>
      <c r="U407" s="35"/>
      <c r="V407" s="35"/>
      <c r="W407" s="35"/>
      <c r="X407" s="20"/>
      <c r="Y407" s="11"/>
      <c r="Z407" s="11"/>
      <c r="AA407" s="38">
        <f>SUM(I407*J407)+(L407*M407)+(O407*P407)+(R407*S407)+(U407*V407)+(X407*Y407)</f>
        <v>0</v>
      </c>
      <c r="AB407" s="17" t="e">
        <f>AVERAGE(K407,N407,Q407,T407,W407,Z407)</f>
        <v>#DIV/0!</v>
      </c>
    </row>
    <row r="408" spans="2:28" hidden="1" x14ac:dyDescent="0.2">
      <c r="B408" s="10" t="s">
        <v>137</v>
      </c>
      <c r="C408" s="11"/>
      <c r="D408" s="11"/>
      <c r="E408" s="11"/>
      <c r="F408" s="11"/>
      <c r="G408" s="11"/>
      <c r="H408" s="11"/>
      <c r="I408" s="12"/>
      <c r="J408" s="13"/>
      <c r="K408" s="12"/>
      <c r="L408" s="106"/>
      <c r="M408" s="107"/>
      <c r="N408" s="106"/>
      <c r="O408" s="12"/>
      <c r="P408" s="13"/>
      <c r="Q408" s="12"/>
      <c r="R408" s="106"/>
      <c r="S408" s="107"/>
      <c r="T408" s="106"/>
      <c r="U408" s="35"/>
      <c r="V408" s="35"/>
      <c r="W408" s="35"/>
      <c r="X408" s="20"/>
      <c r="Y408" s="11"/>
      <c r="Z408" s="11"/>
      <c r="AA408" s="38">
        <f>SUM(I408*J408)+(L408*M408)+(O408*P408)+(R408*S408)+(U408*V408)+(X408*Y408)</f>
        <v>0</v>
      </c>
      <c r="AB408" s="17" t="e">
        <f>AVERAGE(K408,N408,Q408,T408,W408,Z408)</f>
        <v>#DIV/0!</v>
      </c>
    </row>
    <row r="409" spans="2:28" hidden="1" x14ac:dyDescent="0.2">
      <c r="B409" s="10" t="s">
        <v>139</v>
      </c>
      <c r="C409" s="11"/>
      <c r="D409" s="11"/>
      <c r="E409" s="11"/>
      <c r="F409" s="11"/>
      <c r="G409" s="11"/>
      <c r="H409" s="11"/>
      <c r="I409" s="12"/>
      <c r="J409" s="13"/>
      <c r="K409" s="12"/>
      <c r="L409" s="106"/>
      <c r="M409" s="107"/>
      <c r="N409" s="106"/>
      <c r="O409" s="12"/>
      <c r="P409" s="13"/>
      <c r="Q409" s="12"/>
      <c r="R409" s="106"/>
      <c r="S409" s="107"/>
      <c r="T409" s="106"/>
      <c r="U409" s="35"/>
      <c r="V409" s="35"/>
      <c r="W409" s="35"/>
      <c r="X409" s="20"/>
      <c r="Y409" s="11"/>
      <c r="Z409" s="11"/>
      <c r="AA409" s="39">
        <f t="shared" si="66"/>
        <v>0</v>
      </c>
      <c r="AB409" s="17" t="e">
        <f t="shared" si="67"/>
        <v>#DIV/0!</v>
      </c>
    </row>
    <row r="410" spans="2:28" hidden="1" x14ac:dyDescent="0.2">
      <c r="B410" s="206" t="str">
        <f>'Exercise Selection'!B17</f>
        <v>(B1) Five</v>
      </c>
      <c r="C410" s="207"/>
      <c r="D410" s="207"/>
      <c r="E410" s="207"/>
      <c r="F410" s="207"/>
      <c r="G410" s="207"/>
      <c r="H410" s="207"/>
      <c r="I410" s="202" t="s">
        <v>119</v>
      </c>
      <c r="J410" s="203"/>
      <c r="K410" s="203"/>
      <c r="L410" s="202" t="s">
        <v>120</v>
      </c>
      <c r="M410" s="203"/>
      <c r="N410" s="203"/>
      <c r="O410" s="202" t="s">
        <v>121</v>
      </c>
      <c r="P410" s="203"/>
      <c r="Q410" s="203"/>
      <c r="R410" s="202" t="s">
        <v>122</v>
      </c>
      <c r="S410" s="203"/>
      <c r="T410" s="203"/>
      <c r="U410" s="202" t="s">
        <v>123</v>
      </c>
      <c r="V410" s="203"/>
      <c r="W410" s="203"/>
      <c r="X410" s="202" t="s">
        <v>124</v>
      </c>
      <c r="Y410" s="203"/>
      <c r="Z410" s="203"/>
      <c r="AA410" s="202" t="s">
        <v>126</v>
      </c>
      <c r="AB410" s="212" t="s">
        <v>127</v>
      </c>
    </row>
    <row r="411" spans="2:28" hidden="1" x14ac:dyDescent="0.2">
      <c r="B411" s="202"/>
      <c r="C411" s="203"/>
      <c r="D411" s="203"/>
      <c r="E411" s="203"/>
      <c r="F411" s="203"/>
      <c r="G411" s="203"/>
      <c r="H411" s="203"/>
      <c r="I411" s="148"/>
      <c r="J411" s="148"/>
      <c r="K411" s="148"/>
      <c r="L411" s="148"/>
      <c r="M411" s="148"/>
      <c r="N411" s="148"/>
      <c r="O411" s="148"/>
      <c r="P411" s="148"/>
      <c r="Q411" s="148"/>
      <c r="R411" s="148"/>
      <c r="S411" s="148"/>
      <c r="T411" s="148"/>
      <c r="U411" s="148"/>
      <c r="V411" s="148"/>
      <c r="W411" s="148"/>
      <c r="X411" s="148"/>
      <c r="Y411" s="148"/>
      <c r="Z411" s="148"/>
      <c r="AA411" s="203"/>
      <c r="AB411" s="213"/>
    </row>
    <row r="412" spans="2:28" s="111" customFormat="1" hidden="1" x14ac:dyDescent="0.2">
      <c r="B412" s="89" t="s">
        <v>128</v>
      </c>
      <c r="C412" s="90" t="s">
        <v>129</v>
      </c>
      <c r="D412" s="90" t="s">
        <v>38</v>
      </c>
      <c r="E412" s="90" t="s">
        <v>130</v>
      </c>
      <c r="F412" s="90" t="s">
        <v>131</v>
      </c>
      <c r="G412" s="91" t="s">
        <v>132</v>
      </c>
      <c r="H412" s="81" t="s">
        <v>133</v>
      </c>
      <c r="I412" s="83" t="s">
        <v>134</v>
      </c>
      <c r="J412" s="83" t="s">
        <v>135</v>
      </c>
      <c r="K412" s="83" t="s">
        <v>133</v>
      </c>
      <c r="L412" s="83" t="s">
        <v>134</v>
      </c>
      <c r="M412" s="83" t="s">
        <v>135</v>
      </c>
      <c r="N412" s="83" t="s">
        <v>133</v>
      </c>
      <c r="O412" s="83" t="s">
        <v>134</v>
      </c>
      <c r="P412" s="83" t="s">
        <v>135</v>
      </c>
      <c r="Q412" s="83" t="s">
        <v>133</v>
      </c>
      <c r="R412" s="83" t="s">
        <v>134</v>
      </c>
      <c r="S412" s="83" t="s">
        <v>135</v>
      </c>
      <c r="T412" s="83" t="s">
        <v>133</v>
      </c>
      <c r="U412" s="83" t="s">
        <v>134</v>
      </c>
      <c r="V412" s="83" t="s">
        <v>135</v>
      </c>
      <c r="W412" s="83" t="s">
        <v>133</v>
      </c>
      <c r="X412" s="83" t="s">
        <v>134</v>
      </c>
      <c r="Y412" s="83" t="s">
        <v>135</v>
      </c>
      <c r="Z412" s="84" t="s">
        <v>133</v>
      </c>
      <c r="AA412" s="203"/>
      <c r="AB412" s="213"/>
    </row>
    <row r="413" spans="2:28" hidden="1" x14ac:dyDescent="0.2">
      <c r="B413" s="10" t="s">
        <v>59</v>
      </c>
      <c r="C413" s="97"/>
      <c r="D413" s="92"/>
      <c r="E413" s="92"/>
      <c r="F413" s="92"/>
      <c r="G413" s="92"/>
      <c r="H413" s="10"/>
      <c r="I413" s="12"/>
      <c r="J413" s="13"/>
      <c r="K413" s="12"/>
      <c r="L413" s="106"/>
      <c r="M413" s="107"/>
      <c r="N413" s="106"/>
      <c r="O413" s="12"/>
      <c r="P413" s="13"/>
      <c r="Q413" s="12"/>
      <c r="R413" s="106"/>
      <c r="S413" s="107"/>
      <c r="T413" s="106"/>
      <c r="U413" s="33"/>
      <c r="V413" s="34"/>
      <c r="W413" s="33"/>
      <c r="X413" s="14"/>
      <c r="Y413" s="10"/>
      <c r="Z413" s="10"/>
      <c r="AA413" s="37">
        <f>SUM(I413*J413)+(L413*M413)+(O413*P413)+(R413*S413)+(U413*V413)+(X413*Y413)</f>
        <v>0</v>
      </c>
      <c r="AB413" s="17" t="e">
        <f t="shared" ref="AB413:AB420" si="68">AVERAGE(K413,N413,Q413,T413,W413,Z413)</f>
        <v>#DIV/0!</v>
      </c>
    </row>
    <row r="414" spans="2:28" hidden="1" x14ac:dyDescent="0.2">
      <c r="B414" s="10" t="s">
        <v>60</v>
      </c>
      <c r="C414" s="98"/>
      <c r="D414" s="86"/>
      <c r="E414" s="86"/>
      <c r="F414" s="86"/>
      <c r="G414" s="86"/>
      <c r="H414" s="10"/>
      <c r="I414" s="12"/>
      <c r="J414" s="13"/>
      <c r="K414" s="12"/>
      <c r="L414" s="106"/>
      <c r="M414" s="107"/>
      <c r="N414" s="106"/>
      <c r="O414" s="12"/>
      <c r="P414" s="13"/>
      <c r="Q414" s="12"/>
      <c r="R414" s="106"/>
      <c r="S414" s="107"/>
      <c r="T414" s="106"/>
      <c r="U414" s="33"/>
      <c r="V414" s="33"/>
      <c r="W414" s="33"/>
      <c r="X414" s="14"/>
      <c r="Y414" s="10"/>
      <c r="Z414" s="10"/>
      <c r="AA414" s="38">
        <f t="shared" ref="AA414:AA420" si="69">SUM(I414*J414)+(L414*M414)+(O414*P414)+(R414*S414)+(U414*V414)+(X414*Y414)</f>
        <v>0</v>
      </c>
      <c r="AB414" s="17" t="e">
        <f t="shared" si="68"/>
        <v>#DIV/0!</v>
      </c>
    </row>
    <row r="415" spans="2:28" hidden="1" x14ac:dyDescent="0.2">
      <c r="B415" s="10" t="s">
        <v>61</v>
      </c>
      <c r="C415" s="97"/>
      <c r="D415" s="105"/>
      <c r="E415" s="105"/>
      <c r="F415" s="105"/>
      <c r="G415" s="105"/>
      <c r="H415" s="10"/>
      <c r="I415" s="12"/>
      <c r="J415" s="13"/>
      <c r="K415" s="12"/>
      <c r="L415" s="106"/>
      <c r="M415" s="107"/>
      <c r="N415" s="106"/>
      <c r="O415" s="12"/>
      <c r="P415" s="13"/>
      <c r="Q415" s="12"/>
      <c r="R415" s="106"/>
      <c r="S415" s="107"/>
      <c r="T415" s="106"/>
      <c r="U415" s="33"/>
      <c r="V415" s="33"/>
      <c r="W415" s="33"/>
      <c r="X415" s="14"/>
      <c r="Y415" s="10"/>
      <c r="Z415" s="10"/>
      <c r="AA415" s="38">
        <f t="shared" si="69"/>
        <v>0</v>
      </c>
      <c r="AB415" s="17" t="e">
        <f t="shared" si="68"/>
        <v>#DIV/0!</v>
      </c>
    </row>
    <row r="416" spans="2:28" hidden="1" x14ac:dyDescent="0.2">
      <c r="B416" s="10" t="s">
        <v>62</v>
      </c>
      <c r="C416" s="97"/>
      <c r="D416" s="105"/>
      <c r="E416" s="105"/>
      <c r="F416" s="105"/>
      <c r="G416" s="105"/>
      <c r="H416" s="11"/>
      <c r="I416" s="12"/>
      <c r="J416" s="13"/>
      <c r="K416" s="12"/>
      <c r="L416" s="106"/>
      <c r="M416" s="107"/>
      <c r="N416" s="106"/>
      <c r="O416" s="12"/>
      <c r="P416" s="13"/>
      <c r="Q416" s="12"/>
      <c r="R416" s="106"/>
      <c r="S416" s="107"/>
      <c r="T416" s="106"/>
      <c r="U416" s="35"/>
      <c r="V416" s="35"/>
      <c r="W416" s="35"/>
      <c r="X416" s="20"/>
      <c r="Y416" s="11"/>
      <c r="Z416" s="11"/>
      <c r="AA416" s="38">
        <f>SUM(I416*J416)+(L416*M416)+(O416*P416)+(R416*S416)+(U416*V416)+(X416*Y416)</f>
        <v>0</v>
      </c>
      <c r="AB416" s="17" t="e">
        <f t="shared" si="68"/>
        <v>#DIV/0!</v>
      </c>
    </row>
    <row r="417" spans="2:28" hidden="1" x14ac:dyDescent="0.2">
      <c r="B417" s="10" t="s">
        <v>63</v>
      </c>
      <c r="C417" s="10"/>
      <c r="D417" s="105"/>
      <c r="E417" s="105"/>
      <c r="F417" s="105"/>
      <c r="G417" s="105"/>
      <c r="H417" s="11"/>
      <c r="I417" s="12"/>
      <c r="J417" s="13"/>
      <c r="K417" s="12"/>
      <c r="L417" s="106"/>
      <c r="M417" s="107"/>
      <c r="N417" s="106"/>
      <c r="O417" s="12"/>
      <c r="P417" s="13"/>
      <c r="Q417" s="12"/>
      <c r="R417" s="106"/>
      <c r="S417" s="107"/>
      <c r="T417" s="106"/>
      <c r="U417" s="35"/>
      <c r="V417" s="35"/>
      <c r="W417" s="35"/>
      <c r="X417" s="20"/>
      <c r="Y417" s="11"/>
      <c r="Z417" s="11"/>
      <c r="AA417" s="38">
        <f>SUM(I417*J417)+(L417*M417)+(O417*P417)+(R417*S417)+(U417*V417)+(X417*Y417)</f>
        <v>0</v>
      </c>
      <c r="AB417" s="17" t="e">
        <f t="shared" si="68"/>
        <v>#DIV/0!</v>
      </c>
    </row>
    <row r="418" spans="2:28" hidden="1" x14ac:dyDescent="0.2">
      <c r="B418" s="10" t="s">
        <v>64</v>
      </c>
      <c r="C418" s="105"/>
      <c r="D418" s="110"/>
      <c r="E418" s="10"/>
      <c r="F418" s="105"/>
      <c r="G418" s="10"/>
      <c r="H418" s="88"/>
      <c r="I418" s="12"/>
      <c r="J418" s="13"/>
      <c r="K418" s="12"/>
      <c r="L418" s="106"/>
      <c r="M418" s="107"/>
      <c r="N418" s="106"/>
      <c r="O418" s="12"/>
      <c r="P418" s="13"/>
      <c r="Q418" s="12"/>
      <c r="R418" s="106"/>
      <c r="S418" s="107"/>
      <c r="T418" s="106"/>
      <c r="U418" s="35"/>
      <c r="V418" s="35"/>
      <c r="W418" s="35"/>
      <c r="X418" s="20"/>
      <c r="Y418" s="11"/>
      <c r="Z418" s="11"/>
      <c r="AA418" s="38">
        <f>SUM(I418*J418)+(L418*M418)+(O418*P418)+(R418*S418)+(U418*V418)+(X418*Y418)</f>
        <v>0</v>
      </c>
      <c r="AB418" s="17" t="e">
        <f t="shared" si="68"/>
        <v>#DIV/0!</v>
      </c>
    </row>
    <row r="419" spans="2:28" hidden="1" x14ac:dyDescent="0.2">
      <c r="B419" s="10" t="s">
        <v>137</v>
      </c>
      <c r="C419" s="10"/>
      <c r="D419" s="10"/>
      <c r="E419" s="10"/>
      <c r="F419" s="10"/>
      <c r="G419" s="10"/>
      <c r="H419" s="11"/>
      <c r="I419" s="12"/>
      <c r="J419" s="13"/>
      <c r="K419" s="12"/>
      <c r="L419" s="106"/>
      <c r="M419" s="107"/>
      <c r="N419" s="106"/>
      <c r="O419" s="12"/>
      <c r="P419" s="13"/>
      <c r="Q419" s="12"/>
      <c r="R419" s="106"/>
      <c r="S419" s="107"/>
      <c r="T419" s="106"/>
      <c r="U419" s="35"/>
      <c r="V419" s="35"/>
      <c r="W419" s="35"/>
      <c r="X419" s="20"/>
      <c r="Y419" s="11"/>
      <c r="Z419" s="11"/>
      <c r="AA419" s="38">
        <f>SUM(I419*J419)+(L419*M419)+(O419*P419)+(R419*S419)+(U419*V419)+(X419*Y419)</f>
        <v>0</v>
      </c>
      <c r="AB419" s="17" t="e">
        <f t="shared" si="68"/>
        <v>#DIV/0!</v>
      </c>
    </row>
    <row r="420" spans="2:28" hidden="1" x14ac:dyDescent="0.2">
      <c r="B420" s="10" t="s">
        <v>139</v>
      </c>
      <c r="C420" s="11"/>
      <c r="D420" s="11"/>
      <c r="E420" s="11"/>
      <c r="F420" s="11"/>
      <c r="G420" s="11"/>
      <c r="H420" s="11"/>
      <c r="I420" s="12"/>
      <c r="J420" s="13"/>
      <c r="K420" s="12"/>
      <c r="L420" s="106"/>
      <c r="M420" s="107"/>
      <c r="N420" s="106"/>
      <c r="O420" s="12"/>
      <c r="P420" s="13"/>
      <c r="Q420" s="12"/>
      <c r="R420" s="106"/>
      <c r="S420" s="107"/>
      <c r="T420" s="106"/>
      <c r="U420" s="35"/>
      <c r="V420" s="35"/>
      <c r="W420" s="35"/>
      <c r="X420" s="20"/>
      <c r="Y420" s="11"/>
      <c r="Z420" s="11"/>
      <c r="AA420" s="39">
        <f t="shared" si="69"/>
        <v>0</v>
      </c>
      <c r="AB420" s="17" t="e">
        <f t="shared" si="68"/>
        <v>#DIV/0!</v>
      </c>
    </row>
    <row r="421" spans="2:28" hidden="1" x14ac:dyDescent="0.2">
      <c r="B421" s="214" t="str">
        <f>'Exercise Selection'!B18</f>
        <v>(B2) Five</v>
      </c>
      <c r="C421" s="215"/>
      <c r="D421" s="215"/>
      <c r="E421" s="215"/>
      <c r="F421" s="215"/>
      <c r="G421" s="215"/>
      <c r="H421" s="215"/>
      <c r="I421" s="202" t="s">
        <v>119</v>
      </c>
      <c r="J421" s="203"/>
      <c r="K421" s="203"/>
      <c r="L421" s="202" t="s">
        <v>120</v>
      </c>
      <c r="M421" s="203"/>
      <c r="N421" s="203"/>
      <c r="O421" s="202" t="s">
        <v>121</v>
      </c>
      <c r="P421" s="203"/>
      <c r="Q421" s="203"/>
      <c r="R421" s="202" t="s">
        <v>122</v>
      </c>
      <c r="S421" s="203"/>
      <c r="T421" s="203"/>
      <c r="U421" s="202" t="s">
        <v>123</v>
      </c>
      <c r="V421" s="203"/>
      <c r="W421" s="203"/>
      <c r="X421" s="202" t="s">
        <v>124</v>
      </c>
      <c r="Y421" s="203"/>
      <c r="Z421" s="203"/>
      <c r="AA421" s="202" t="s">
        <v>126</v>
      </c>
      <c r="AB421" s="212" t="s">
        <v>127</v>
      </c>
    </row>
    <row r="422" spans="2:28" hidden="1" x14ac:dyDescent="0.2">
      <c r="B422" s="202"/>
      <c r="C422" s="203"/>
      <c r="D422" s="203"/>
      <c r="E422" s="203"/>
      <c r="F422" s="203"/>
      <c r="G422" s="203"/>
      <c r="H422" s="203"/>
      <c r="I422" s="148"/>
      <c r="J422" s="148"/>
      <c r="K422" s="148"/>
      <c r="L422" s="148"/>
      <c r="M422" s="148"/>
      <c r="N422" s="148"/>
      <c r="O422" s="148"/>
      <c r="P422" s="148"/>
      <c r="Q422" s="148"/>
      <c r="R422" s="148"/>
      <c r="S422" s="148"/>
      <c r="T422" s="148"/>
      <c r="U422" s="148"/>
      <c r="V422" s="148"/>
      <c r="W422" s="148"/>
      <c r="X422" s="148"/>
      <c r="Y422" s="148"/>
      <c r="Z422" s="148"/>
      <c r="AA422" s="203"/>
      <c r="AB422" s="213"/>
    </row>
    <row r="423" spans="2:28" s="111" customFormat="1" hidden="1" x14ac:dyDescent="0.2">
      <c r="B423" s="89" t="s">
        <v>128</v>
      </c>
      <c r="C423" s="90" t="s">
        <v>129</v>
      </c>
      <c r="D423" s="90" t="s">
        <v>38</v>
      </c>
      <c r="E423" s="90" t="s">
        <v>130</v>
      </c>
      <c r="F423" s="90" t="s">
        <v>131</v>
      </c>
      <c r="G423" s="91" t="s">
        <v>132</v>
      </c>
      <c r="H423" s="81" t="s">
        <v>133</v>
      </c>
      <c r="I423" s="83" t="s">
        <v>134</v>
      </c>
      <c r="J423" s="83" t="s">
        <v>135</v>
      </c>
      <c r="K423" s="83" t="s">
        <v>133</v>
      </c>
      <c r="L423" s="83" t="s">
        <v>134</v>
      </c>
      <c r="M423" s="83" t="s">
        <v>135</v>
      </c>
      <c r="N423" s="83" t="s">
        <v>133</v>
      </c>
      <c r="O423" s="83" t="s">
        <v>134</v>
      </c>
      <c r="P423" s="83" t="s">
        <v>135</v>
      </c>
      <c r="Q423" s="83" t="s">
        <v>133</v>
      </c>
      <c r="R423" s="83" t="s">
        <v>134</v>
      </c>
      <c r="S423" s="83" t="s">
        <v>135</v>
      </c>
      <c r="T423" s="83" t="s">
        <v>133</v>
      </c>
      <c r="U423" s="83" t="s">
        <v>134</v>
      </c>
      <c r="V423" s="83" t="s">
        <v>135</v>
      </c>
      <c r="W423" s="83" t="s">
        <v>133</v>
      </c>
      <c r="X423" s="83" t="s">
        <v>134</v>
      </c>
      <c r="Y423" s="83" t="s">
        <v>135</v>
      </c>
      <c r="Z423" s="84" t="s">
        <v>133</v>
      </c>
      <c r="AA423" s="203"/>
      <c r="AB423" s="213"/>
    </row>
    <row r="424" spans="2:28" hidden="1" x14ac:dyDescent="0.2">
      <c r="B424" s="85" t="s">
        <v>59</v>
      </c>
      <c r="C424" s="97"/>
      <c r="D424" s="92"/>
      <c r="E424" s="92"/>
      <c r="F424" s="92"/>
      <c r="G424" s="92"/>
      <c r="H424" s="10"/>
      <c r="I424" s="12"/>
      <c r="J424" s="13"/>
      <c r="K424" s="12"/>
      <c r="L424" s="106"/>
      <c r="M424" s="107"/>
      <c r="N424" s="106"/>
      <c r="O424" s="12"/>
      <c r="P424" s="13"/>
      <c r="Q424" s="12"/>
      <c r="R424" s="106"/>
      <c r="S424" s="107"/>
      <c r="T424" s="106"/>
      <c r="U424" s="33"/>
      <c r="V424" s="34"/>
      <c r="W424" s="33"/>
      <c r="X424" s="14"/>
      <c r="Y424" s="10"/>
      <c r="Z424" s="10"/>
      <c r="AA424" s="37">
        <f>SUM(I424*J424)+(L424*M424)+(O424*P424)+(R424*S424)+(U424*V424)+(X424*Y424)</f>
        <v>0</v>
      </c>
      <c r="AB424" s="17" t="e">
        <f t="shared" ref="AB424:AB431" si="70">AVERAGE(K424,N424,Q424,T424,W424,Z424)</f>
        <v>#DIV/0!</v>
      </c>
    </row>
    <row r="425" spans="2:28" hidden="1" x14ac:dyDescent="0.2">
      <c r="B425" s="85" t="s">
        <v>60</v>
      </c>
      <c r="C425" s="98"/>
      <c r="D425" s="86"/>
      <c r="E425" s="86"/>
      <c r="F425" s="86"/>
      <c r="G425" s="86"/>
      <c r="H425" s="10"/>
      <c r="I425" s="12"/>
      <c r="J425" s="13"/>
      <c r="K425" s="12"/>
      <c r="L425" s="106"/>
      <c r="M425" s="107"/>
      <c r="N425" s="106"/>
      <c r="O425" s="12"/>
      <c r="P425" s="13"/>
      <c r="Q425" s="12"/>
      <c r="R425" s="106"/>
      <c r="S425" s="107"/>
      <c r="T425" s="106"/>
      <c r="U425" s="33"/>
      <c r="V425" s="33"/>
      <c r="W425" s="33"/>
      <c r="X425" s="14"/>
      <c r="Y425" s="10"/>
      <c r="Z425" s="10"/>
      <c r="AA425" s="38">
        <f t="shared" ref="AA425:AA431" si="71">SUM(I425*J425)+(L425*M425)+(O425*P425)+(R425*S425)+(U425*V425)+(X425*Y425)</f>
        <v>0</v>
      </c>
      <c r="AB425" s="17" t="e">
        <f t="shared" si="70"/>
        <v>#DIV/0!</v>
      </c>
    </row>
    <row r="426" spans="2:28" hidden="1" x14ac:dyDescent="0.2">
      <c r="B426" s="85" t="s">
        <v>61</v>
      </c>
      <c r="C426" s="97"/>
      <c r="D426" s="105"/>
      <c r="E426" s="105"/>
      <c r="F426" s="105"/>
      <c r="G426" s="105"/>
      <c r="H426" s="10"/>
      <c r="I426" s="12"/>
      <c r="J426" s="13"/>
      <c r="K426" s="12"/>
      <c r="L426" s="106"/>
      <c r="M426" s="107"/>
      <c r="N426" s="106"/>
      <c r="O426" s="12"/>
      <c r="P426" s="13"/>
      <c r="Q426" s="12"/>
      <c r="R426" s="106"/>
      <c r="S426" s="107"/>
      <c r="T426" s="106"/>
      <c r="U426" s="33"/>
      <c r="V426" s="33"/>
      <c r="W426" s="33"/>
      <c r="X426" s="14"/>
      <c r="Y426" s="10"/>
      <c r="Z426" s="10"/>
      <c r="AA426" s="38">
        <f t="shared" si="71"/>
        <v>0</v>
      </c>
      <c r="AB426" s="17" t="e">
        <f t="shared" si="70"/>
        <v>#DIV/0!</v>
      </c>
    </row>
    <row r="427" spans="2:28" hidden="1" x14ac:dyDescent="0.2">
      <c r="B427" s="85" t="s">
        <v>62</v>
      </c>
      <c r="C427" s="97"/>
      <c r="D427" s="105"/>
      <c r="E427" s="105"/>
      <c r="F427" s="105"/>
      <c r="G427" s="105"/>
      <c r="H427" s="11"/>
      <c r="I427" s="12"/>
      <c r="J427" s="13"/>
      <c r="K427" s="12"/>
      <c r="L427" s="106"/>
      <c r="M427" s="107"/>
      <c r="N427" s="106"/>
      <c r="O427" s="12"/>
      <c r="P427" s="13"/>
      <c r="Q427" s="12"/>
      <c r="R427" s="106"/>
      <c r="S427" s="107"/>
      <c r="T427" s="106"/>
      <c r="U427" s="35"/>
      <c r="V427" s="35"/>
      <c r="W427" s="35"/>
      <c r="X427" s="20"/>
      <c r="Y427" s="11"/>
      <c r="Z427" s="11"/>
      <c r="AA427" s="38">
        <f>SUM(I427*J427)+(L427*M427)+(O427*P427)+(R427*S427)+(U427*V427)+(X427*Y427)</f>
        <v>0</v>
      </c>
      <c r="AB427" s="17" t="e">
        <f>AVERAGE(K427,N427,Q427,T427,W427,Z427)</f>
        <v>#DIV/0!</v>
      </c>
    </row>
    <row r="428" spans="2:28" hidden="1" x14ac:dyDescent="0.2">
      <c r="B428" s="85" t="s">
        <v>63</v>
      </c>
      <c r="C428" s="10"/>
      <c r="D428" s="105"/>
      <c r="E428" s="105"/>
      <c r="F428" s="105"/>
      <c r="G428" s="105"/>
      <c r="H428" s="11"/>
      <c r="I428" s="12"/>
      <c r="J428" s="13"/>
      <c r="K428" s="12"/>
      <c r="L428" s="106"/>
      <c r="M428" s="107"/>
      <c r="N428" s="106"/>
      <c r="O428" s="12"/>
      <c r="P428" s="13"/>
      <c r="Q428" s="12"/>
      <c r="R428" s="106"/>
      <c r="S428" s="107"/>
      <c r="T428" s="106"/>
      <c r="U428" s="35"/>
      <c r="V428" s="35"/>
      <c r="W428" s="35"/>
      <c r="X428" s="20"/>
      <c r="Y428" s="11"/>
      <c r="Z428" s="11"/>
      <c r="AA428" s="38">
        <f>SUM(I428*J428)+(L428*M428)+(O428*P428)+(R428*S428)+(U428*V428)+(X428*Y428)</f>
        <v>0</v>
      </c>
      <c r="AB428" s="17" t="e">
        <f>AVERAGE(K428,N428,Q428,T428,W428,Z428)</f>
        <v>#DIV/0!</v>
      </c>
    </row>
    <row r="429" spans="2:28" hidden="1" x14ac:dyDescent="0.2">
      <c r="B429" s="85" t="s">
        <v>64</v>
      </c>
      <c r="C429" s="105"/>
      <c r="D429" s="110"/>
      <c r="E429" s="10"/>
      <c r="F429" s="105"/>
      <c r="G429" s="10"/>
      <c r="H429" s="88"/>
      <c r="I429" s="12"/>
      <c r="J429" s="13"/>
      <c r="K429" s="12"/>
      <c r="L429" s="106"/>
      <c r="M429" s="107"/>
      <c r="N429" s="106"/>
      <c r="O429" s="12"/>
      <c r="P429" s="13"/>
      <c r="Q429" s="12"/>
      <c r="R429" s="106"/>
      <c r="S429" s="107"/>
      <c r="T429" s="106"/>
      <c r="U429" s="35"/>
      <c r="V429" s="35"/>
      <c r="W429" s="35"/>
      <c r="X429" s="20"/>
      <c r="Y429" s="11"/>
      <c r="Z429" s="11"/>
      <c r="AA429" s="38">
        <f>SUM(I429*J429)+(L429*M429)+(O429*P429)+(R429*S429)+(U429*V429)+(X429*Y429)</f>
        <v>0</v>
      </c>
      <c r="AB429" s="17" t="e">
        <f>AVERAGE(K429,N429,Q429,T429,W429,Z429)</f>
        <v>#DIV/0!</v>
      </c>
    </row>
    <row r="430" spans="2:28" hidden="1" x14ac:dyDescent="0.2">
      <c r="B430" s="10" t="s">
        <v>137</v>
      </c>
      <c r="C430" s="11"/>
      <c r="D430" s="11"/>
      <c r="E430" s="11"/>
      <c r="F430" s="11"/>
      <c r="G430" s="11"/>
      <c r="H430" s="11"/>
      <c r="I430" s="12"/>
      <c r="J430" s="13"/>
      <c r="K430" s="12"/>
      <c r="L430" s="106"/>
      <c r="M430" s="107"/>
      <c r="N430" s="106"/>
      <c r="O430" s="12"/>
      <c r="P430" s="13"/>
      <c r="Q430" s="12"/>
      <c r="R430" s="106"/>
      <c r="S430" s="107"/>
      <c r="T430" s="106"/>
      <c r="U430" s="35"/>
      <c r="V430" s="35"/>
      <c r="W430" s="35"/>
      <c r="X430" s="20"/>
      <c r="Y430" s="11"/>
      <c r="Z430" s="11"/>
      <c r="AA430" s="38">
        <f>SUM(I430*J430)+(L430*M430)+(O430*P430)+(R430*S430)+(U430*V430)+(X430*Y430)</f>
        <v>0</v>
      </c>
      <c r="AB430" s="17" t="e">
        <f>AVERAGE(K430,N430,Q430,T430,W430,Z430)</f>
        <v>#DIV/0!</v>
      </c>
    </row>
    <row r="431" spans="2:28" hidden="1" x14ac:dyDescent="0.2">
      <c r="B431" s="10" t="s">
        <v>139</v>
      </c>
      <c r="C431" s="11"/>
      <c r="D431" s="11"/>
      <c r="E431" s="11"/>
      <c r="F431" s="11"/>
      <c r="G431" s="11"/>
      <c r="H431" s="11"/>
      <c r="I431" s="12"/>
      <c r="J431" s="13"/>
      <c r="K431" s="12"/>
      <c r="L431" s="106"/>
      <c r="M431" s="107"/>
      <c r="N431" s="106"/>
      <c r="O431" s="12"/>
      <c r="P431" s="13"/>
      <c r="Q431" s="12"/>
      <c r="R431" s="106"/>
      <c r="S431" s="107"/>
      <c r="T431" s="106"/>
      <c r="U431" s="35"/>
      <c r="V431" s="35"/>
      <c r="W431" s="35"/>
      <c r="X431" s="20"/>
      <c r="Y431" s="11"/>
      <c r="Z431" s="11"/>
      <c r="AA431" s="39">
        <f t="shared" si="71"/>
        <v>0</v>
      </c>
      <c r="AB431" s="17" t="e">
        <f t="shared" si="70"/>
        <v>#DIV/0!</v>
      </c>
    </row>
    <row r="432" spans="2:28" hidden="1" x14ac:dyDescent="0.2">
      <c r="B432" s="206" t="str">
        <f>'Exercise Selection'!B19</f>
        <v>(C1) Five</v>
      </c>
      <c r="C432" s="207"/>
      <c r="D432" s="207"/>
      <c r="E432" s="207"/>
      <c r="F432" s="207"/>
      <c r="G432" s="207"/>
      <c r="H432" s="207"/>
      <c r="I432" s="202" t="s">
        <v>119</v>
      </c>
      <c r="J432" s="203"/>
      <c r="K432" s="203"/>
      <c r="L432" s="202" t="s">
        <v>120</v>
      </c>
      <c r="M432" s="203"/>
      <c r="N432" s="203"/>
      <c r="O432" s="202" t="s">
        <v>121</v>
      </c>
      <c r="P432" s="203"/>
      <c r="Q432" s="203"/>
      <c r="R432" s="202" t="s">
        <v>122</v>
      </c>
      <c r="S432" s="203"/>
      <c r="T432" s="203"/>
      <c r="U432" s="202" t="s">
        <v>123</v>
      </c>
      <c r="V432" s="203"/>
      <c r="W432" s="203"/>
      <c r="X432" s="202" t="s">
        <v>124</v>
      </c>
      <c r="Y432" s="203"/>
      <c r="Z432" s="203"/>
      <c r="AA432" s="202" t="s">
        <v>126</v>
      </c>
      <c r="AB432" s="212" t="s">
        <v>127</v>
      </c>
    </row>
    <row r="433" spans="2:28" hidden="1" x14ac:dyDescent="0.2">
      <c r="B433" s="202"/>
      <c r="C433" s="203"/>
      <c r="D433" s="203"/>
      <c r="E433" s="203"/>
      <c r="F433" s="203"/>
      <c r="G433" s="203"/>
      <c r="H433" s="203"/>
      <c r="I433" s="148"/>
      <c r="J433" s="148"/>
      <c r="K433" s="148"/>
      <c r="L433" s="148"/>
      <c r="M433" s="148"/>
      <c r="N433" s="148"/>
      <c r="O433" s="148"/>
      <c r="P433" s="148"/>
      <c r="Q433" s="148"/>
      <c r="R433" s="148"/>
      <c r="S433" s="148"/>
      <c r="T433" s="148"/>
      <c r="U433" s="148"/>
      <c r="V433" s="148"/>
      <c r="W433" s="148"/>
      <c r="X433" s="148"/>
      <c r="Y433" s="148"/>
      <c r="Z433" s="148"/>
      <c r="AA433" s="203"/>
      <c r="AB433" s="213"/>
    </row>
    <row r="434" spans="2:28" s="111" customFormat="1" hidden="1" x14ac:dyDescent="0.2">
      <c r="B434" s="89" t="s">
        <v>128</v>
      </c>
      <c r="C434" s="90" t="s">
        <v>129</v>
      </c>
      <c r="D434" s="90" t="s">
        <v>38</v>
      </c>
      <c r="E434" s="90" t="s">
        <v>130</v>
      </c>
      <c r="F434" s="90" t="s">
        <v>131</v>
      </c>
      <c r="G434" s="91" t="s">
        <v>132</v>
      </c>
      <c r="H434" s="81" t="s">
        <v>133</v>
      </c>
      <c r="I434" s="83" t="s">
        <v>134</v>
      </c>
      <c r="J434" s="83" t="s">
        <v>135</v>
      </c>
      <c r="K434" s="83" t="s">
        <v>133</v>
      </c>
      <c r="L434" s="83" t="s">
        <v>134</v>
      </c>
      <c r="M434" s="83" t="s">
        <v>135</v>
      </c>
      <c r="N434" s="83" t="s">
        <v>133</v>
      </c>
      <c r="O434" s="83" t="s">
        <v>134</v>
      </c>
      <c r="P434" s="83" t="s">
        <v>135</v>
      </c>
      <c r="Q434" s="83" t="s">
        <v>133</v>
      </c>
      <c r="R434" s="83" t="s">
        <v>134</v>
      </c>
      <c r="S434" s="83" t="s">
        <v>135</v>
      </c>
      <c r="T434" s="83" t="s">
        <v>133</v>
      </c>
      <c r="U434" s="83" t="s">
        <v>134</v>
      </c>
      <c r="V434" s="83" t="s">
        <v>135</v>
      </c>
      <c r="W434" s="83" t="s">
        <v>133</v>
      </c>
      <c r="X434" s="83" t="s">
        <v>134</v>
      </c>
      <c r="Y434" s="83" t="s">
        <v>135</v>
      </c>
      <c r="Z434" s="84" t="s">
        <v>133</v>
      </c>
      <c r="AA434" s="203"/>
      <c r="AB434" s="213"/>
    </row>
    <row r="435" spans="2:28" hidden="1" x14ac:dyDescent="0.2">
      <c r="B435" s="10" t="s">
        <v>59</v>
      </c>
      <c r="C435" s="97"/>
      <c r="D435" s="92"/>
      <c r="E435" s="92"/>
      <c r="F435" s="92"/>
      <c r="G435" s="92"/>
      <c r="H435" s="10"/>
      <c r="I435" s="12"/>
      <c r="J435" s="13"/>
      <c r="K435" s="12"/>
      <c r="L435" s="106"/>
      <c r="M435" s="107"/>
      <c r="N435" s="106"/>
      <c r="O435" s="12"/>
      <c r="P435" s="13"/>
      <c r="Q435" s="12"/>
      <c r="R435" s="106"/>
      <c r="S435" s="107"/>
      <c r="T435" s="106"/>
      <c r="U435" s="33"/>
      <c r="V435" s="34"/>
      <c r="W435" s="33"/>
      <c r="X435" s="14"/>
      <c r="Y435" s="10"/>
      <c r="Z435" s="10"/>
      <c r="AA435" s="37">
        <f>SUM(I435*J435)+(L435*M435)+(O435*P435)+(R435*S435)+(U435*V435)+(X435*Y435)</f>
        <v>0</v>
      </c>
      <c r="AB435" s="17" t="e">
        <f t="shared" ref="AB435:AB442" si="72">AVERAGE(K435,N435,Q435,T435,W435,Z435)</f>
        <v>#DIV/0!</v>
      </c>
    </row>
    <row r="436" spans="2:28" hidden="1" x14ac:dyDescent="0.2">
      <c r="B436" s="10" t="s">
        <v>60</v>
      </c>
      <c r="C436" s="98"/>
      <c r="D436" s="86"/>
      <c r="E436" s="86"/>
      <c r="F436" s="86"/>
      <c r="G436" s="86"/>
      <c r="H436" s="10"/>
      <c r="I436" s="12"/>
      <c r="J436" s="13"/>
      <c r="K436" s="12"/>
      <c r="L436" s="106"/>
      <c r="M436" s="107"/>
      <c r="N436" s="106"/>
      <c r="O436" s="12"/>
      <c r="P436" s="13"/>
      <c r="Q436" s="12"/>
      <c r="R436" s="106"/>
      <c r="S436" s="107"/>
      <c r="T436" s="106"/>
      <c r="U436" s="33"/>
      <c r="V436" s="33"/>
      <c r="W436" s="33"/>
      <c r="X436" s="14"/>
      <c r="Y436" s="10"/>
      <c r="Z436" s="10"/>
      <c r="AA436" s="38">
        <f t="shared" ref="AA436:AA442" si="73">SUM(I436*J436)+(L436*M436)+(O436*P436)+(R436*S436)+(U436*V436)+(X436*Y436)</f>
        <v>0</v>
      </c>
      <c r="AB436" s="17" t="e">
        <f t="shared" si="72"/>
        <v>#DIV/0!</v>
      </c>
    </row>
    <row r="437" spans="2:28" hidden="1" x14ac:dyDescent="0.2">
      <c r="B437" s="10" t="s">
        <v>61</v>
      </c>
      <c r="C437" s="98"/>
      <c r="D437" s="86"/>
      <c r="E437" s="86"/>
      <c r="F437" s="86"/>
      <c r="G437" s="86"/>
      <c r="H437" s="10"/>
      <c r="I437" s="12"/>
      <c r="J437" s="13"/>
      <c r="K437" s="12"/>
      <c r="L437" s="106"/>
      <c r="M437" s="107"/>
      <c r="N437" s="106"/>
      <c r="O437" s="12"/>
      <c r="P437" s="13"/>
      <c r="Q437" s="12"/>
      <c r="R437" s="106"/>
      <c r="S437" s="107"/>
      <c r="T437" s="106"/>
      <c r="U437" s="33"/>
      <c r="V437" s="33"/>
      <c r="W437" s="33"/>
      <c r="X437" s="14"/>
      <c r="Y437" s="10"/>
      <c r="Z437" s="10"/>
      <c r="AA437" s="38">
        <f t="shared" si="73"/>
        <v>0</v>
      </c>
      <c r="AB437" s="17" t="e">
        <f t="shared" si="72"/>
        <v>#DIV/0!</v>
      </c>
    </row>
    <row r="438" spans="2:28" hidden="1" x14ac:dyDescent="0.2">
      <c r="B438" s="10" t="s">
        <v>62</v>
      </c>
      <c r="C438" s="97"/>
      <c r="D438" s="105"/>
      <c r="E438" s="105"/>
      <c r="F438" s="105"/>
      <c r="G438" s="87"/>
      <c r="H438" s="11"/>
      <c r="I438" s="12"/>
      <c r="J438" s="13"/>
      <c r="K438" s="12"/>
      <c r="L438" s="106"/>
      <c r="M438" s="107"/>
      <c r="N438" s="106"/>
      <c r="O438" s="12"/>
      <c r="P438" s="13"/>
      <c r="Q438" s="12"/>
      <c r="R438" s="106"/>
      <c r="S438" s="107"/>
      <c r="T438" s="106"/>
      <c r="U438" s="35"/>
      <c r="V438" s="35"/>
      <c r="W438" s="35"/>
      <c r="X438" s="20"/>
      <c r="Y438" s="11"/>
      <c r="Z438" s="11"/>
      <c r="AA438" s="38">
        <f>SUM(I438*J438)+(L438*M438)+(O438*P438)+(R438*S438)+(U438*V438)+(X438*Y438)</f>
        <v>0</v>
      </c>
      <c r="AB438" s="17" t="e">
        <f>AVERAGE(K438,N438,Q438,T438,W438,Z438)</f>
        <v>#DIV/0!</v>
      </c>
    </row>
    <row r="439" spans="2:28" hidden="1" x14ac:dyDescent="0.2">
      <c r="B439" s="10" t="s">
        <v>63</v>
      </c>
      <c r="C439" s="10"/>
      <c r="D439" s="105"/>
      <c r="E439" s="105"/>
      <c r="F439" s="105"/>
      <c r="G439" s="88"/>
      <c r="H439" s="11"/>
      <c r="I439" s="12"/>
      <c r="J439" s="13"/>
      <c r="K439" s="12"/>
      <c r="L439" s="106"/>
      <c r="M439" s="107"/>
      <c r="N439" s="106"/>
      <c r="O439" s="12"/>
      <c r="P439" s="13"/>
      <c r="Q439" s="12"/>
      <c r="R439" s="106"/>
      <c r="S439" s="107"/>
      <c r="T439" s="106"/>
      <c r="U439" s="35"/>
      <c r="V439" s="35"/>
      <c r="W439" s="35"/>
      <c r="X439" s="20"/>
      <c r="Y439" s="11"/>
      <c r="Z439" s="11"/>
      <c r="AA439" s="38">
        <f>SUM(I439*J439)+(L439*M439)+(O439*P439)+(R439*S439)+(U439*V439)+(X439*Y439)</f>
        <v>0</v>
      </c>
      <c r="AB439" s="17" t="e">
        <f>AVERAGE(K439,N439,Q439,T439,W439,Z439)</f>
        <v>#DIV/0!</v>
      </c>
    </row>
    <row r="440" spans="2:28" hidden="1" x14ac:dyDescent="0.2">
      <c r="B440" s="10" t="s">
        <v>64</v>
      </c>
      <c r="C440" s="105"/>
      <c r="D440" s="110"/>
      <c r="E440" s="10"/>
      <c r="F440" s="105"/>
      <c r="G440" s="11"/>
      <c r="H440" s="88"/>
      <c r="I440" s="12"/>
      <c r="J440" s="13"/>
      <c r="K440" s="12"/>
      <c r="L440" s="106"/>
      <c r="M440" s="107"/>
      <c r="N440" s="106"/>
      <c r="O440" s="12"/>
      <c r="P440" s="13"/>
      <c r="Q440" s="12"/>
      <c r="R440" s="106"/>
      <c r="S440" s="107"/>
      <c r="T440" s="106"/>
      <c r="U440" s="35"/>
      <c r="V440" s="35"/>
      <c r="W440" s="35"/>
      <c r="X440" s="20"/>
      <c r="Y440" s="11"/>
      <c r="Z440" s="11"/>
      <c r="AA440" s="38">
        <f>SUM(I440*J440)+(L440*M440)+(O440*P440)+(R440*S440)+(U440*V440)+(X440*Y440)</f>
        <v>0</v>
      </c>
      <c r="AB440" s="17" t="e">
        <f>AVERAGE(K440,N440,Q440,T440,W440,Z440)</f>
        <v>#DIV/0!</v>
      </c>
    </row>
    <row r="441" spans="2:28" hidden="1" x14ac:dyDescent="0.2">
      <c r="B441" s="10" t="s">
        <v>137</v>
      </c>
      <c r="C441" s="10"/>
      <c r="D441" s="10"/>
      <c r="E441" s="10"/>
      <c r="F441" s="10"/>
      <c r="G441" s="11"/>
      <c r="H441" s="11"/>
      <c r="I441" s="12"/>
      <c r="J441" s="13"/>
      <c r="K441" s="12"/>
      <c r="L441" s="106"/>
      <c r="M441" s="107"/>
      <c r="N441" s="106"/>
      <c r="O441" s="12"/>
      <c r="P441" s="13"/>
      <c r="Q441" s="12"/>
      <c r="R441" s="106"/>
      <c r="S441" s="107"/>
      <c r="T441" s="106"/>
      <c r="U441" s="35"/>
      <c r="V441" s="35"/>
      <c r="W441" s="35"/>
      <c r="X441" s="20"/>
      <c r="Y441" s="11"/>
      <c r="Z441" s="11"/>
      <c r="AA441" s="38">
        <f>SUM(I441*J441)+(L441*M441)+(O441*P441)+(R441*S441)+(U441*V441)+(X441*Y441)</f>
        <v>0</v>
      </c>
      <c r="AB441" s="17" t="e">
        <f>AVERAGE(K441,N441,Q441,T441,W441,Z441)</f>
        <v>#DIV/0!</v>
      </c>
    </row>
    <row r="442" spans="2:28" hidden="1" x14ac:dyDescent="0.2">
      <c r="B442" s="10" t="s">
        <v>139</v>
      </c>
      <c r="C442" s="11"/>
      <c r="D442" s="11"/>
      <c r="E442" s="11"/>
      <c r="F442" s="11"/>
      <c r="G442" s="11"/>
      <c r="H442" s="11"/>
      <c r="I442" s="12"/>
      <c r="J442" s="13"/>
      <c r="K442" s="12"/>
      <c r="L442" s="106"/>
      <c r="M442" s="107"/>
      <c r="N442" s="106"/>
      <c r="O442" s="12"/>
      <c r="P442" s="13"/>
      <c r="Q442" s="12"/>
      <c r="R442" s="106"/>
      <c r="S442" s="107"/>
      <c r="T442" s="106"/>
      <c r="U442" s="35"/>
      <c r="V442" s="35"/>
      <c r="W442" s="35"/>
      <c r="X442" s="20"/>
      <c r="Y442" s="11"/>
      <c r="Z442" s="11"/>
      <c r="AA442" s="39">
        <f t="shared" si="73"/>
        <v>0</v>
      </c>
      <c r="AB442" s="17" t="e">
        <f t="shared" si="72"/>
        <v>#DIV/0!</v>
      </c>
    </row>
    <row r="443" spans="2:28" hidden="1" x14ac:dyDescent="0.2">
      <c r="B443" s="206" t="str">
        <f>'Exercise Selection'!B20</f>
        <v>(C2) Five</v>
      </c>
      <c r="C443" s="207"/>
      <c r="D443" s="207"/>
      <c r="E443" s="207"/>
      <c r="F443" s="207"/>
      <c r="G443" s="207"/>
      <c r="H443" s="207"/>
      <c r="I443" s="202" t="s">
        <v>119</v>
      </c>
      <c r="J443" s="203"/>
      <c r="K443" s="203"/>
      <c r="L443" s="202" t="s">
        <v>120</v>
      </c>
      <c r="M443" s="203"/>
      <c r="N443" s="203"/>
      <c r="O443" s="202" t="s">
        <v>121</v>
      </c>
      <c r="P443" s="203"/>
      <c r="Q443" s="203"/>
      <c r="R443" s="202" t="s">
        <v>122</v>
      </c>
      <c r="S443" s="203"/>
      <c r="T443" s="203"/>
      <c r="U443" s="202" t="s">
        <v>123</v>
      </c>
      <c r="V443" s="203"/>
      <c r="W443" s="203"/>
      <c r="X443" s="202" t="s">
        <v>124</v>
      </c>
      <c r="Y443" s="203"/>
      <c r="Z443" s="203"/>
      <c r="AA443" s="202" t="s">
        <v>126</v>
      </c>
      <c r="AB443" s="212" t="s">
        <v>127</v>
      </c>
    </row>
    <row r="444" spans="2:28" hidden="1" x14ac:dyDescent="0.2">
      <c r="B444" s="202"/>
      <c r="C444" s="203"/>
      <c r="D444" s="203"/>
      <c r="E444" s="203"/>
      <c r="F444" s="203"/>
      <c r="G444" s="203"/>
      <c r="H444" s="203"/>
      <c r="I444" s="148"/>
      <c r="J444" s="148"/>
      <c r="K444" s="148"/>
      <c r="L444" s="148"/>
      <c r="M444" s="148"/>
      <c r="N444" s="148"/>
      <c r="O444" s="148"/>
      <c r="P444" s="148"/>
      <c r="Q444" s="148"/>
      <c r="R444" s="148"/>
      <c r="S444" s="148"/>
      <c r="T444" s="148"/>
      <c r="U444" s="148"/>
      <c r="V444" s="148"/>
      <c r="W444" s="148"/>
      <c r="X444" s="148"/>
      <c r="Y444" s="148"/>
      <c r="Z444" s="148"/>
      <c r="AA444" s="203"/>
      <c r="AB444" s="213"/>
    </row>
    <row r="445" spans="2:28" s="111" customFormat="1" hidden="1" x14ac:dyDescent="0.2">
      <c r="B445" s="89" t="s">
        <v>128</v>
      </c>
      <c r="C445" s="90" t="s">
        <v>129</v>
      </c>
      <c r="D445" s="90" t="s">
        <v>38</v>
      </c>
      <c r="E445" s="90" t="s">
        <v>130</v>
      </c>
      <c r="F445" s="90" t="s">
        <v>131</v>
      </c>
      <c r="G445" s="91" t="s">
        <v>132</v>
      </c>
      <c r="H445" s="81" t="s">
        <v>133</v>
      </c>
      <c r="I445" s="83" t="s">
        <v>134</v>
      </c>
      <c r="J445" s="83" t="s">
        <v>135</v>
      </c>
      <c r="K445" s="83" t="s">
        <v>133</v>
      </c>
      <c r="L445" s="83" t="s">
        <v>134</v>
      </c>
      <c r="M445" s="83" t="s">
        <v>135</v>
      </c>
      <c r="N445" s="83" t="s">
        <v>133</v>
      </c>
      <c r="O445" s="83" t="s">
        <v>134</v>
      </c>
      <c r="P445" s="83" t="s">
        <v>135</v>
      </c>
      <c r="Q445" s="83" t="s">
        <v>133</v>
      </c>
      <c r="R445" s="83" t="s">
        <v>134</v>
      </c>
      <c r="S445" s="83" t="s">
        <v>135</v>
      </c>
      <c r="T445" s="83" t="s">
        <v>133</v>
      </c>
      <c r="U445" s="83" t="s">
        <v>134</v>
      </c>
      <c r="V445" s="83" t="s">
        <v>135</v>
      </c>
      <c r="W445" s="83" t="s">
        <v>133</v>
      </c>
      <c r="X445" s="83" t="s">
        <v>134</v>
      </c>
      <c r="Y445" s="83" t="s">
        <v>135</v>
      </c>
      <c r="Z445" s="84" t="s">
        <v>133</v>
      </c>
      <c r="AA445" s="203"/>
      <c r="AB445" s="213"/>
    </row>
    <row r="446" spans="2:28" hidden="1" x14ac:dyDescent="0.2">
      <c r="B446" s="10" t="s">
        <v>59</v>
      </c>
      <c r="C446" s="97"/>
      <c r="D446" s="92"/>
      <c r="E446" s="92"/>
      <c r="F446" s="92"/>
      <c r="G446" s="92"/>
      <c r="H446" s="10"/>
      <c r="I446" s="12"/>
      <c r="J446" s="13"/>
      <c r="K446" s="12"/>
      <c r="L446" s="106"/>
      <c r="M446" s="107"/>
      <c r="N446" s="106"/>
      <c r="O446" s="12"/>
      <c r="P446" s="13"/>
      <c r="Q446" s="12"/>
      <c r="R446" s="106"/>
      <c r="S446" s="107"/>
      <c r="T446" s="106"/>
      <c r="U446" s="33"/>
      <c r="V446" s="34"/>
      <c r="W446" s="33"/>
      <c r="X446" s="14"/>
      <c r="Y446" s="10"/>
      <c r="Z446" s="10"/>
      <c r="AA446" s="37">
        <f>SUM(I446*J446)+(L446*M446)+(O446*P446)+(R446*S446)+(U446*V446)+(X446*Y446)</f>
        <v>0</v>
      </c>
      <c r="AB446" s="17" t="e">
        <f t="shared" ref="AB446:AB453" si="74">AVERAGE(K446,N446,Q446,T446,W446,Z446)</f>
        <v>#DIV/0!</v>
      </c>
    </row>
    <row r="447" spans="2:28" hidden="1" x14ac:dyDescent="0.2">
      <c r="B447" s="10" t="s">
        <v>60</v>
      </c>
      <c r="C447" s="98"/>
      <c r="D447" s="86"/>
      <c r="E447" s="86"/>
      <c r="F447" s="86"/>
      <c r="G447" s="86"/>
      <c r="H447" s="10"/>
      <c r="I447" s="12"/>
      <c r="J447" s="13"/>
      <c r="K447" s="12"/>
      <c r="L447" s="106"/>
      <c r="M447" s="107"/>
      <c r="N447" s="106"/>
      <c r="O447" s="12"/>
      <c r="P447" s="13"/>
      <c r="Q447" s="12"/>
      <c r="R447" s="106"/>
      <c r="S447" s="107"/>
      <c r="T447" s="106"/>
      <c r="U447" s="33"/>
      <c r="V447" s="33"/>
      <c r="W447" s="33"/>
      <c r="X447" s="14"/>
      <c r="Y447" s="10"/>
      <c r="Z447" s="10"/>
      <c r="AA447" s="38">
        <f t="shared" ref="AA447:AA453" si="75">SUM(I447*J447)+(L447*M447)+(O447*P447)+(R447*S447)+(U447*V447)+(X447*Y447)</f>
        <v>0</v>
      </c>
      <c r="AB447" s="17" t="e">
        <f t="shared" si="74"/>
        <v>#DIV/0!</v>
      </c>
    </row>
    <row r="448" spans="2:28" hidden="1" x14ac:dyDescent="0.2">
      <c r="B448" s="10" t="s">
        <v>61</v>
      </c>
      <c r="C448" s="98"/>
      <c r="D448" s="86"/>
      <c r="E448" s="86"/>
      <c r="F448" s="86"/>
      <c r="G448" s="86"/>
      <c r="H448" s="10"/>
      <c r="I448" s="12"/>
      <c r="J448" s="13"/>
      <c r="K448" s="12"/>
      <c r="L448" s="106"/>
      <c r="M448" s="107"/>
      <c r="N448" s="106"/>
      <c r="O448" s="12"/>
      <c r="P448" s="13"/>
      <c r="Q448" s="12"/>
      <c r="R448" s="106"/>
      <c r="S448" s="107"/>
      <c r="T448" s="106"/>
      <c r="U448" s="33"/>
      <c r="V448" s="33"/>
      <c r="W448" s="33"/>
      <c r="X448" s="14"/>
      <c r="Y448" s="10"/>
      <c r="Z448" s="10"/>
      <c r="AA448" s="38">
        <f t="shared" si="75"/>
        <v>0</v>
      </c>
      <c r="AB448" s="17" t="e">
        <f t="shared" si="74"/>
        <v>#DIV/0!</v>
      </c>
    </row>
    <row r="449" spans="2:28" hidden="1" x14ac:dyDescent="0.2">
      <c r="B449" s="10" t="s">
        <v>62</v>
      </c>
      <c r="C449" s="97"/>
      <c r="D449" s="105"/>
      <c r="E449" s="105"/>
      <c r="F449" s="105"/>
      <c r="G449" s="87"/>
      <c r="H449" s="11"/>
      <c r="I449" s="12"/>
      <c r="J449" s="13"/>
      <c r="K449" s="12"/>
      <c r="L449" s="106"/>
      <c r="M449" s="107"/>
      <c r="N449" s="106"/>
      <c r="O449" s="12"/>
      <c r="P449" s="13"/>
      <c r="Q449" s="12"/>
      <c r="R449" s="106"/>
      <c r="S449" s="107"/>
      <c r="T449" s="106"/>
      <c r="U449" s="35"/>
      <c r="V449" s="35"/>
      <c r="W449" s="35"/>
      <c r="X449" s="20"/>
      <c r="Y449" s="11"/>
      <c r="Z449" s="11"/>
      <c r="AA449" s="38">
        <f>SUM(I449*J449)+(L449*M449)+(O449*P449)+(R449*S449)+(U449*V449)+(X449*Y449)</f>
        <v>0</v>
      </c>
      <c r="AB449" s="17" t="e">
        <f>AVERAGE(K449,N449,Q449,T449,W449,Z449)</f>
        <v>#DIV/0!</v>
      </c>
    </row>
    <row r="450" spans="2:28" hidden="1" x14ac:dyDescent="0.2">
      <c r="B450" s="10" t="s">
        <v>63</v>
      </c>
      <c r="C450" s="10"/>
      <c r="D450" s="105"/>
      <c r="E450" s="105"/>
      <c r="F450" s="105"/>
      <c r="G450" s="88"/>
      <c r="H450" s="11"/>
      <c r="I450" s="12"/>
      <c r="J450" s="13"/>
      <c r="K450" s="12"/>
      <c r="L450" s="106"/>
      <c r="M450" s="107"/>
      <c r="N450" s="106"/>
      <c r="O450" s="12"/>
      <c r="P450" s="13"/>
      <c r="Q450" s="12"/>
      <c r="R450" s="106"/>
      <c r="S450" s="107"/>
      <c r="T450" s="106"/>
      <c r="U450" s="35"/>
      <c r="V450" s="35"/>
      <c r="W450" s="35"/>
      <c r="X450" s="20"/>
      <c r="Y450" s="11"/>
      <c r="Z450" s="11"/>
      <c r="AA450" s="38">
        <f>SUM(I450*J450)+(L450*M450)+(O450*P450)+(R450*S450)+(U450*V450)+(X450*Y450)</f>
        <v>0</v>
      </c>
      <c r="AB450" s="17" t="e">
        <f>AVERAGE(K450,N450,Q450,T450,W450,Z450)</f>
        <v>#DIV/0!</v>
      </c>
    </row>
    <row r="451" spans="2:28" hidden="1" x14ac:dyDescent="0.2">
      <c r="B451" s="10" t="s">
        <v>64</v>
      </c>
      <c r="C451" s="105"/>
      <c r="D451" s="97"/>
      <c r="E451" s="10"/>
      <c r="F451" s="105"/>
      <c r="G451" s="11"/>
      <c r="H451" s="88"/>
      <c r="I451" s="12"/>
      <c r="J451" s="13"/>
      <c r="K451" s="12"/>
      <c r="L451" s="106"/>
      <c r="M451" s="107"/>
      <c r="N451" s="106"/>
      <c r="O451" s="12"/>
      <c r="P451" s="13"/>
      <c r="Q451" s="12"/>
      <c r="R451" s="106"/>
      <c r="S451" s="107"/>
      <c r="T451" s="106"/>
      <c r="U451" s="35"/>
      <c r="V451" s="35"/>
      <c r="W451" s="35"/>
      <c r="X451" s="20"/>
      <c r="Y451" s="11"/>
      <c r="Z451" s="11"/>
      <c r="AA451" s="38">
        <f>SUM(I451*J451)+(L451*M451)+(O451*P451)+(R451*S451)+(U451*V451)+(X451*Y451)</f>
        <v>0</v>
      </c>
      <c r="AB451" s="17" t="e">
        <f>AVERAGE(K451,N451,Q451,T451,W451,Z451)</f>
        <v>#DIV/0!</v>
      </c>
    </row>
    <row r="452" spans="2:28" hidden="1" x14ac:dyDescent="0.2">
      <c r="B452" s="10" t="s">
        <v>137</v>
      </c>
      <c r="C452" s="11"/>
      <c r="D452" s="11"/>
      <c r="E452" s="11"/>
      <c r="F452" s="11"/>
      <c r="G452" s="11"/>
      <c r="H452" s="11"/>
      <c r="I452" s="12"/>
      <c r="J452" s="13"/>
      <c r="K452" s="12"/>
      <c r="L452" s="106"/>
      <c r="M452" s="107"/>
      <c r="N452" s="106"/>
      <c r="O452" s="12"/>
      <c r="P452" s="13"/>
      <c r="Q452" s="12"/>
      <c r="R452" s="106"/>
      <c r="S452" s="107"/>
      <c r="T452" s="106"/>
      <c r="U452" s="35"/>
      <c r="V452" s="35"/>
      <c r="W452" s="35"/>
      <c r="X452" s="20"/>
      <c r="Y452" s="11"/>
      <c r="Z452" s="11"/>
      <c r="AA452" s="38">
        <f>SUM(I452*J452)+(L452*M452)+(O452*P452)+(R452*S452)+(U452*V452)+(X452*Y452)</f>
        <v>0</v>
      </c>
      <c r="AB452" s="17" t="e">
        <f>AVERAGE(K452,N452,Q452,T452,W452,Z452)</f>
        <v>#DIV/0!</v>
      </c>
    </row>
    <row r="453" spans="2:28" hidden="1" x14ac:dyDescent="0.2">
      <c r="B453" s="10" t="s">
        <v>139</v>
      </c>
      <c r="C453" s="11"/>
      <c r="D453" s="11"/>
      <c r="E453" s="11"/>
      <c r="F453" s="11"/>
      <c r="G453" s="11"/>
      <c r="H453" s="11"/>
      <c r="I453" s="12"/>
      <c r="J453" s="13"/>
      <c r="K453" s="12"/>
      <c r="L453" s="106"/>
      <c r="M453" s="107"/>
      <c r="N453" s="106"/>
      <c r="O453" s="12"/>
      <c r="P453" s="13"/>
      <c r="Q453" s="12"/>
      <c r="R453" s="106"/>
      <c r="S453" s="107"/>
      <c r="T453" s="106"/>
      <c r="U453" s="35"/>
      <c r="V453" s="35"/>
      <c r="W453" s="35"/>
      <c r="X453" s="20"/>
      <c r="Y453" s="11"/>
      <c r="Z453" s="11"/>
      <c r="AA453" s="39">
        <f t="shared" si="75"/>
        <v>0</v>
      </c>
      <c r="AB453" s="17" t="e">
        <f t="shared" si="74"/>
        <v>#DIV/0!</v>
      </c>
    </row>
    <row r="454" spans="2:28" hidden="1" x14ac:dyDescent="0.2">
      <c r="B454" s="206" t="str">
        <f>'Exercise Selection'!B21</f>
        <v>(C3) Five</v>
      </c>
      <c r="C454" s="207"/>
      <c r="D454" s="207"/>
      <c r="E454" s="207"/>
      <c r="F454" s="207"/>
      <c r="G454" s="207"/>
      <c r="H454" s="207"/>
      <c r="I454" s="202" t="s">
        <v>119</v>
      </c>
      <c r="J454" s="203"/>
      <c r="K454" s="203"/>
      <c r="L454" s="202" t="s">
        <v>120</v>
      </c>
      <c r="M454" s="203"/>
      <c r="N454" s="203"/>
      <c r="O454" s="202" t="s">
        <v>121</v>
      </c>
      <c r="P454" s="203"/>
      <c r="Q454" s="203"/>
      <c r="R454" s="202" t="s">
        <v>122</v>
      </c>
      <c r="S454" s="203"/>
      <c r="T454" s="203"/>
      <c r="U454" s="202" t="s">
        <v>123</v>
      </c>
      <c r="V454" s="203"/>
      <c r="W454" s="203"/>
      <c r="X454" s="202" t="s">
        <v>124</v>
      </c>
      <c r="Y454" s="203"/>
      <c r="Z454" s="203"/>
      <c r="AA454" s="202" t="s">
        <v>126</v>
      </c>
      <c r="AB454" s="212" t="s">
        <v>127</v>
      </c>
    </row>
    <row r="455" spans="2:28" hidden="1" x14ac:dyDescent="0.2">
      <c r="B455" s="202"/>
      <c r="C455" s="203"/>
      <c r="D455" s="203"/>
      <c r="E455" s="203"/>
      <c r="F455" s="203"/>
      <c r="G455" s="203"/>
      <c r="H455" s="203"/>
      <c r="I455" s="148"/>
      <c r="J455" s="148"/>
      <c r="K455" s="148"/>
      <c r="L455" s="148"/>
      <c r="M455" s="148"/>
      <c r="N455" s="148"/>
      <c r="O455" s="148"/>
      <c r="P455" s="148"/>
      <c r="Q455" s="148"/>
      <c r="R455" s="148"/>
      <c r="S455" s="148"/>
      <c r="T455" s="148"/>
      <c r="U455" s="148"/>
      <c r="V455" s="148"/>
      <c r="W455" s="148"/>
      <c r="X455" s="148"/>
      <c r="Y455" s="148"/>
      <c r="Z455" s="148"/>
      <c r="AA455" s="203"/>
      <c r="AB455" s="213"/>
    </row>
    <row r="456" spans="2:28" s="111" customFormat="1" hidden="1" x14ac:dyDescent="0.2">
      <c r="B456" s="89" t="s">
        <v>128</v>
      </c>
      <c r="C456" s="90" t="s">
        <v>129</v>
      </c>
      <c r="D456" s="90" t="s">
        <v>38</v>
      </c>
      <c r="E456" s="90" t="s">
        <v>130</v>
      </c>
      <c r="F456" s="90" t="s">
        <v>131</v>
      </c>
      <c r="G456" s="91" t="s">
        <v>132</v>
      </c>
      <c r="H456" s="81" t="s">
        <v>133</v>
      </c>
      <c r="I456" s="83" t="s">
        <v>134</v>
      </c>
      <c r="J456" s="83" t="s">
        <v>135</v>
      </c>
      <c r="K456" s="83" t="s">
        <v>133</v>
      </c>
      <c r="L456" s="83" t="s">
        <v>134</v>
      </c>
      <c r="M456" s="83" t="s">
        <v>135</v>
      </c>
      <c r="N456" s="83" t="s">
        <v>133</v>
      </c>
      <c r="O456" s="83" t="s">
        <v>134</v>
      </c>
      <c r="P456" s="83" t="s">
        <v>135</v>
      </c>
      <c r="Q456" s="83" t="s">
        <v>133</v>
      </c>
      <c r="R456" s="83" t="s">
        <v>134</v>
      </c>
      <c r="S456" s="83" t="s">
        <v>135</v>
      </c>
      <c r="T456" s="83" t="s">
        <v>133</v>
      </c>
      <c r="U456" s="83" t="s">
        <v>134</v>
      </c>
      <c r="V456" s="83" t="s">
        <v>135</v>
      </c>
      <c r="W456" s="83" t="s">
        <v>133</v>
      </c>
      <c r="X456" s="83" t="s">
        <v>134</v>
      </c>
      <c r="Y456" s="83" t="s">
        <v>135</v>
      </c>
      <c r="Z456" s="84" t="s">
        <v>133</v>
      </c>
      <c r="AA456" s="203"/>
      <c r="AB456" s="213"/>
    </row>
    <row r="457" spans="2:28" hidden="1" x14ac:dyDescent="0.2">
      <c r="B457" s="10" t="s">
        <v>59</v>
      </c>
      <c r="C457" s="86"/>
      <c r="D457" s="93"/>
      <c r="E457" s="86"/>
      <c r="F457" s="86"/>
      <c r="G457" s="86"/>
      <c r="H457" s="86"/>
      <c r="I457" s="12"/>
      <c r="J457" s="13"/>
      <c r="K457" s="12"/>
      <c r="L457" s="106"/>
      <c r="M457" s="107"/>
      <c r="N457" s="106"/>
      <c r="O457" s="12"/>
      <c r="P457" s="13"/>
      <c r="Q457" s="12"/>
      <c r="R457" s="106"/>
      <c r="S457" s="107"/>
      <c r="T457" s="106"/>
      <c r="U457" s="33"/>
      <c r="V457" s="34"/>
      <c r="W457" s="33"/>
      <c r="X457" s="14"/>
      <c r="Y457" s="10"/>
      <c r="Z457" s="10"/>
      <c r="AA457" s="37">
        <f>SUM(I457*J457)+(L457*M457)+(O457*P457)+(R457*S457)+(U457*V457)+(X457*Y457)</f>
        <v>0</v>
      </c>
      <c r="AB457" s="17" t="e">
        <f t="shared" ref="AB457:AB464" si="76">AVERAGE(K457,N457,Q457,T457,W457,Z457)</f>
        <v>#DIV/0!</v>
      </c>
    </row>
    <row r="458" spans="2:28" hidden="1" x14ac:dyDescent="0.2">
      <c r="B458" s="10" t="s">
        <v>60</v>
      </c>
      <c r="C458" s="86"/>
      <c r="D458" s="93"/>
      <c r="E458" s="86"/>
      <c r="F458" s="86"/>
      <c r="G458" s="86"/>
      <c r="H458" s="86"/>
      <c r="I458" s="12"/>
      <c r="J458" s="13"/>
      <c r="K458" s="12"/>
      <c r="L458" s="106"/>
      <c r="M458" s="107"/>
      <c r="N458" s="106"/>
      <c r="O458" s="12"/>
      <c r="P458" s="13"/>
      <c r="Q458" s="12"/>
      <c r="R458" s="106"/>
      <c r="S458" s="107"/>
      <c r="T458" s="106"/>
      <c r="U458" s="33"/>
      <c r="V458" s="33"/>
      <c r="W458" s="33"/>
      <c r="X458" s="14"/>
      <c r="Y458" s="10"/>
      <c r="Z458" s="10"/>
      <c r="AA458" s="38">
        <f t="shared" ref="AA458:AA464" si="77">SUM(I458*J458)+(L458*M458)+(O458*P458)+(R458*S458)+(U458*V458)+(X458*Y458)</f>
        <v>0</v>
      </c>
      <c r="AB458" s="17" t="e">
        <f t="shared" si="76"/>
        <v>#DIV/0!</v>
      </c>
    </row>
    <row r="459" spans="2:28" hidden="1" x14ac:dyDescent="0.2">
      <c r="B459" s="10" t="s">
        <v>61</v>
      </c>
      <c r="C459" s="86"/>
      <c r="D459" s="94"/>
      <c r="E459" s="87"/>
      <c r="F459" s="86"/>
      <c r="G459" s="87"/>
      <c r="H459" s="87"/>
      <c r="I459" s="12"/>
      <c r="J459" s="13"/>
      <c r="K459" s="12"/>
      <c r="L459" s="106"/>
      <c r="M459" s="107"/>
      <c r="N459" s="106"/>
      <c r="O459" s="12"/>
      <c r="P459" s="13"/>
      <c r="Q459" s="12"/>
      <c r="R459" s="106"/>
      <c r="S459" s="107"/>
      <c r="T459" s="106"/>
      <c r="U459" s="33"/>
      <c r="V459" s="33"/>
      <c r="W459" s="33"/>
      <c r="X459" s="14"/>
      <c r="Y459" s="10"/>
      <c r="Z459" s="10"/>
      <c r="AA459" s="38">
        <f t="shared" si="77"/>
        <v>0</v>
      </c>
      <c r="AB459" s="17" t="e">
        <f t="shared" si="76"/>
        <v>#DIV/0!</v>
      </c>
    </row>
    <row r="460" spans="2:28" hidden="1" x14ac:dyDescent="0.2">
      <c r="B460" s="10" t="s">
        <v>62</v>
      </c>
      <c r="C460" s="86"/>
      <c r="D460" s="95"/>
      <c r="E460" s="88"/>
      <c r="F460" s="86"/>
      <c r="G460" s="88"/>
      <c r="H460" s="88"/>
      <c r="I460" s="12"/>
      <c r="J460" s="13"/>
      <c r="K460" s="12"/>
      <c r="L460" s="106"/>
      <c r="M460" s="107"/>
      <c r="N460" s="106"/>
      <c r="O460" s="12"/>
      <c r="P460" s="13"/>
      <c r="Q460" s="12"/>
      <c r="R460" s="106"/>
      <c r="S460" s="107"/>
      <c r="T460" s="106"/>
      <c r="U460" s="35"/>
      <c r="V460" s="35"/>
      <c r="W460" s="35"/>
      <c r="X460" s="20"/>
      <c r="Y460" s="11"/>
      <c r="Z460" s="11"/>
      <c r="AA460" s="38">
        <f>SUM(I460*J460)+(L460*M460)+(O460*P460)+(R460*S460)+(U460*V460)+(X460*Y460)</f>
        <v>0</v>
      </c>
      <c r="AB460" s="17" t="e">
        <f>AVERAGE(K460,N460,Q460,T460,W460,Z460)</f>
        <v>#DIV/0!</v>
      </c>
    </row>
    <row r="461" spans="2:28" hidden="1" x14ac:dyDescent="0.2">
      <c r="B461" s="10" t="s">
        <v>63</v>
      </c>
      <c r="C461" s="85"/>
      <c r="D461" s="96"/>
      <c r="E461" s="11"/>
      <c r="F461" s="86"/>
      <c r="G461" s="11"/>
      <c r="H461" s="88"/>
      <c r="I461" s="12"/>
      <c r="J461" s="13"/>
      <c r="K461" s="12"/>
      <c r="L461" s="106"/>
      <c r="M461" s="107"/>
      <c r="N461" s="106"/>
      <c r="O461" s="12"/>
      <c r="P461" s="13"/>
      <c r="Q461" s="12"/>
      <c r="R461" s="106"/>
      <c r="S461" s="107"/>
      <c r="T461" s="106"/>
      <c r="U461" s="35"/>
      <c r="V461" s="35"/>
      <c r="W461" s="35"/>
      <c r="X461" s="20"/>
      <c r="Y461" s="11"/>
      <c r="Z461" s="11"/>
      <c r="AA461" s="38">
        <f>SUM(I461*J461)+(L461*M461)+(O461*P461)+(R461*S461)+(U461*V461)+(X461*Y461)</f>
        <v>0</v>
      </c>
      <c r="AB461" s="17" t="e">
        <f>AVERAGE(K461,N461,Q461,T461,W461,Z461)</f>
        <v>#DIV/0!</v>
      </c>
    </row>
    <row r="462" spans="2:28" hidden="1" x14ac:dyDescent="0.2">
      <c r="B462" s="10" t="s">
        <v>64</v>
      </c>
      <c r="C462" s="85"/>
      <c r="D462" s="96"/>
      <c r="E462" s="11"/>
      <c r="F462" s="86"/>
      <c r="G462" s="11"/>
      <c r="H462" s="88"/>
      <c r="I462" s="12"/>
      <c r="J462" s="13"/>
      <c r="K462" s="12"/>
      <c r="L462" s="106"/>
      <c r="M462" s="107"/>
      <c r="N462" s="106"/>
      <c r="O462" s="12"/>
      <c r="P462" s="13"/>
      <c r="Q462" s="12"/>
      <c r="R462" s="106"/>
      <c r="S462" s="107"/>
      <c r="T462" s="106"/>
      <c r="U462" s="35"/>
      <c r="V462" s="35"/>
      <c r="W462" s="35"/>
      <c r="X462" s="20"/>
      <c r="Y462" s="11"/>
      <c r="Z462" s="11"/>
      <c r="AA462" s="38">
        <f>SUM(I462*J462)+(L462*M462)+(O462*P462)+(R462*S462)+(U462*V462)+(X462*Y462)</f>
        <v>0</v>
      </c>
      <c r="AB462" s="17" t="e">
        <f>AVERAGE(K462,N462,Q462,T462,W462,Z462)</f>
        <v>#DIV/0!</v>
      </c>
    </row>
    <row r="463" spans="2:28" hidden="1" x14ac:dyDescent="0.2">
      <c r="B463" s="10" t="s">
        <v>137</v>
      </c>
      <c r="C463" s="11"/>
      <c r="D463" s="11"/>
      <c r="E463" s="11"/>
      <c r="F463" s="11"/>
      <c r="G463" s="11"/>
      <c r="H463" s="11"/>
      <c r="I463" s="12"/>
      <c r="J463" s="13"/>
      <c r="K463" s="12"/>
      <c r="L463" s="106"/>
      <c r="M463" s="107"/>
      <c r="N463" s="106"/>
      <c r="O463" s="12"/>
      <c r="P463" s="13"/>
      <c r="Q463" s="12"/>
      <c r="R463" s="106"/>
      <c r="S463" s="107"/>
      <c r="T463" s="106"/>
      <c r="U463" s="35"/>
      <c r="V463" s="35"/>
      <c r="W463" s="35"/>
      <c r="X463" s="20"/>
      <c r="Y463" s="11"/>
      <c r="Z463" s="11"/>
      <c r="AA463" s="38">
        <f>SUM(I463*J463)+(L463*M463)+(O463*P463)+(R463*S463)+(U463*V463)+(X463*Y463)</f>
        <v>0</v>
      </c>
      <c r="AB463" s="17" t="e">
        <f>AVERAGE(K463,N463,Q463,T463,W463,Z463)</f>
        <v>#DIV/0!</v>
      </c>
    </row>
    <row r="464" spans="2:28" hidden="1" x14ac:dyDescent="0.2">
      <c r="B464" s="10" t="s">
        <v>139</v>
      </c>
      <c r="C464" s="11"/>
      <c r="D464" s="11"/>
      <c r="E464" s="11"/>
      <c r="F464" s="11"/>
      <c r="G464" s="11"/>
      <c r="H464" s="11"/>
      <c r="I464" s="12"/>
      <c r="J464" s="13"/>
      <c r="K464" s="12"/>
      <c r="L464" s="106"/>
      <c r="M464" s="107"/>
      <c r="N464" s="106"/>
      <c r="O464" s="12"/>
      <c r="P464" s="13"/>
      <c r="Q464" s="12"/>
      <c r="R464" s="106"/>
      <c r="S464" s="107"/>
      <c r="T464" s="106"/>
      <c r="U464" s="35"/>
      <c r="V464" s="35"/>
      <c r="W464" s="35"/>
      <c r="X464" s="20"/>
      <c r="Y464" s="11"/>
      <c r="Z464" s="11"/>
      <c r="AA464" s="39">
        <f t="shared" si="77"/>
        <v>0</v>
      </c>
      <c r="AB464" s="17" t="e">
        <f t="shared" si="76"/>
        <v>#DIV/0!</v>
      </c>
    </row>
    <row r="465" spans="2:28" hidden="1" x14ac:dyDescent="0.2">
      <c r="B465" s="206" t="str">
        <f>'Exercise Selection'!B22</f>
        <v>(D1) Five</v>
      </c>
      <c r="C465" s="207"/>
      <c r="D465" s="207"/>
      <c r="E465" s="207"/>
      <c r="F465" s="207"/>
      <c r="G465" s="207"/>
      <c r="H465" s="207"/>
      <c r="I465" s="202" t="s">
        <v>119</v>
      </c>
      <c r="J465" s="203"/>
      <c r="K465" s="203"/>
      <c r="L465" s="202" t="s">
        <v>120</v>
      </c>
      <c r="M465" s="203"/>
      <c r="N465" s="203"/>
      <c r="O465" s="202" t="s">
        <v>121</v>
      </c>
      <c r="P465" s="203"/>
      <c r="Q465" s="203"/>
      <c r="R465" s="202" t="s">
        <v>122</v>
      </c>
      <c r="S465" s="203"/>
      <c r="T465" s="203"/>
      <c r="U465" s="202" t="s">
        <v>123</v>
      </c>
      <c r="V465" s="203"/>
      <c r="W465" s="203"/>
      <c r="X465" s="202" t="s">
        <v>124</v>
      </c>
      <c r="Y465" s="203"/>
      <c r="Z465" s="203"/>
      <c r="AA465" s="202" t="s">
        <v>126</v>
      </c>
      <c r="AB465" s="202" t="s">
        <v>127</v>
      </c>
    </row>
    <row r="466" spans="2:28" hidden="1" x14ac:dyDescent="0.2">
      <c r="B466" s="202"/>
      <c r="C466" s="203"/>
      <c r="D466" s="203"/>
      <c r="E466" s="203"/>
      <c r="F466" s="203"/>
      <c r="G466" s="203"/>
      <c r="H466" s="203"/>
      <c r="I466" s="148"/>
      <c r="J466" s="148"/>
      <c r="K466" s="148"/>
      <c r="L466" s="148"/>
      <c r="M466" s="148"/>
      <c r="N466" s="148"/>
      <c r="O466" s="148"/>
      <c r="P466" s="148"/>
      <c r="Q466" s="148"/>
      <c r="R466" s="148"/>
      <c r="S466" s="148"/>
      <c r="T466" s="148"/>
      <c r="U466" s="148"/>
      <c r="V466" s="148"/>
      <c r="W466" s="148"/>
      <c r="X466" s="148"/>
      <c r="Y466" s="148"/>
      <c r="Z466" s="148"/>
      <c r="AA466" s="203"/>
      <c r="AB466" s="203"/>
    </row>
    <row r="467" spans="2:28" s="111" customFormat="1" hidden="1" x14ac:dyDescent="0.2">
      <c r="B467" s="89" t="s">
        <v>128</v>
      </c>
      <c r="C467" s="90" t="s">
        <v>129</v>
      </c>
      <c r="D467" s="90" t="s">
        <v>38</v>
      </c>
      <c r="E467" s="90" t="s">
        <v>130</v>
      </c>
      <c r="F467" s="90" t="s">
        <v>131</v>
      </c>
      <c r="G467" s="91" t="s">
        <v>132</v>
      </c>
      <c r="H467" s="81" t="s">
        <v>133</v>
      </c>
      <c r="I467" s="80" t="s">
        <v>134</v>
      </c>
      <c r="J467" s="80" t="s">
        <v>135</v>
      </c>
      <c r="K467" s="80" t="s">
        <v>133</v>
      </c>
      <c r="L467" s="80" t="s">
        <v>134</v>
      </c>
      <c r="M467" s="80" t="s">
        <v>135</v>
      </c>
      <c r="N467" s="80" t="s">
        <v>133</v>
      </c>
      <c r="O467" s="80" t="s">
        <v>134</v>
      </c>
      <c r="P467" s="80" t="s">
        <v>135</v>
      </c>
      <c r="Q467" s="80" t="s">
        <v>133</v>
      </c>
      <c r="R467" s="80" t="s">
        <v>134</v>
      </c>
      <c r="S467" s="80" t="s">
        <v>135</v>
      </c>
      <c r="T467" s="80" t="s">
        <v>133</v>
      </c>
      <c r="U467" s="80" t="s">
        <v>134</v>
      </c>
      <c r="V467" s="80" t="s">
        <v>135</v>
      </c>
      <c r="W467" s="80" t="s">
        <v>133</v>
      </c>
      <c r="X467" s="80" t="s">
        <v>134</v>
      </c>
      <c r="Y467" s="80" t="s">
        <v>135</v>
      </c>
      <c r="Z467" s="82" t="s">
        <v>133</v>
      </c>
      <c r="AA467" s="203"/>
      <c r="AB467" s="203"/>
    </row>
    <row r="468" spans="2:28" hidden="1" x14ac:dyDescent="0.2">
      <c r="B468" s="10" t="s">
        <v>59</v>
      </c>
      <c r="C468" s="86"/>
      <c r="D468" s="93"/>
      <c r="E468" s="86"/>
      <c r="F468" s="86"/>
      <c r="G468" s="86"/>
      <c r="H468" s="86"/>
      <c r="I468" s="12"/>
      <c r="J468" s="13"/>
      <c r="K468" s="12"/>
      <c r="L468" s="106"/>
      <c r="M468" s="107"/>
      <c r="N468" s="106"/>
      <c r="O468" s="12"/>
      <c r="P468" s="13"/>
      <c r="Q468" s="12"/>
      <c r="R468" s="106"/>
      <c r="S468" s="107"/>
      <c r="T468" s="106"/>
      <c r="U468" s="12"/>
      <c r="V468" s="13"/>
      <c r="W468" s="12"/>
      <c r="X468" s="14"/>
      <c r="Y468" s="10"/>
      <c r="Z468" s="10"/>
      <c r="AA468" s="19">
        <f>SUM(I468*J468)+(L468*M468)+(O468*P468)+(R468*S468)+(U468*V468)+(X468*Y468)</f>
        <v>0</v>
      </c>
      <c r="AB468" s="17" t="e">
        <f t="shared" ref="AB468:AB475" si="78">AVERAGE(K468,N468,Q468,T468,W468,Z468)</f>
        <v>#DIV/0!</v>
      </c>
    </row>
    <row r="469" spans="2:28" hidden="1" x14ac:dyDescent="0.2">
      <c r="B469" s="10" t="s">
        <v>60</v>
      </c>
      <c r="C469" s="86"/>
      <c r="D469" s="93"/>
      <c r="E469" s="86"/>
      <c r="F469" s="86"/>
      <c r="G469" s="86"/>
      <c r="H469" s="86"/>
      <c r="I469" s="12"/>
      <c r="J469" s="13"/>
      <c r="K469" s="12"/>
      <c r="L469" s="106"/>
      <c r="M469" s="107"/>
      <c r="N469" s="106"/>
      <c r="O469" s="12"/>
      <c r="P469" s="13"/>
      <c r="Q469" s="12"/>
      <c r="R469" s="106"/>
      <c r="S469" s="107"/>
      <c r="T469" s="106"/>
      <c r="U469" s="12"/>
      <c r="V469" s="12"/>
      <c r="W469" s="12"/>
      <c r="X469" s="14"/>
      <c r="Y469" s="10"/>
      <c r="Z469" s="10"/>
      <c r="AA469" s="16">
        <f t="shared" ref="AA469:AA475" si="79">SUM(I469*J469)+(L469*M469)+(O469*P469)+(R469*S469)+(U469*V469)+(X469*Y469)</f>
        <v>0</v>
      </c>
      <c r="AB469" s="17" t="e">
        <f t="shared" si="78"/>
        <v>#DIV/0!</v>
      </c>
    </row>
    <row r="470" spans="2:28" hidden="1" x14ac:dyDescent="0.2">
      <c r="B470" s="10" t="s">
        <v>61</v>
      </c>
      <c r="C470" s="86"/>
      <c r="D470" s="94"/>
      <c r="E470" s="87"/>
      <c r="F470" s="86"/>
      <c r="G470" s="87"/>
      <c r="H470" s="87"/>
      <c r="I470" s="12"/>
      <c r="J470" s="13"/>
      <c r="K470" s="12"/>
      <c r="L470" s="106"/>
      <c r="M470" s="107"/>
      <c r="N470" s="106"/>
      <c r="O470" s="12"/>
      <c r="P470" s="13"/>
      <c r="Q470" s="12"/>
      <c r="R470" s="106"/>
      <c r="S470" s="107"/>
      <c r="T470" s="106"/>
      <c r="U470" s="12"/>
      <c r="V470" s="12"/>
      <c r="W470" s="12"/>
      <c r="X470" s="14"/>
      <c r="Y470" s="10"/>
      <c r="Z470" s="10"/>
      <c r="AA470" s="16">
        <f t="shared" si="79"/>
        <v>0</v>
      </c>
      <c r="AB470" s="17" t="e">
        <f t="shared" si="78"/>
        <v>#DIV/0!</v>
      </c>
    </row>
    <row r="471" spans="2:28" hidden="1" x14ac:dyDescent="0.2">
      <c r="B471" s="10" t="s">
        <v>62</v>
      </c>
      <c r="C471" s="86"/>
      <c r="D471" s="95"/>
      <c r="E471" s="88"/>
      <c r="F471" s="86"/>
      <c r="G471" s="88"/>
      <c r="H471" s="88"/>
      <c r="I471" s="12"/>
      <c r="J471" s="13"/>
      <c r="K471" s="12"/>
      <c r="L471" s="106"/>
      <c r="M471" s="107"/>
      <c r="N471" s="106"/>
      <c r="O471" s="12"/>
      <c r="P471" s="13"/>
      <c r="Q471" s="12"/>
      <c r="R471" s="106"/>
      <c r="S471" s="107"/>
      <c r="T471" s="106"/>
      <c r="U471" s="12"/>
      <c r="V471" s="12"/>
      <c r="W471" s="12"/>
      <c r="X471" s="14"/>
      <c r="Y471" s="10"/>
      <c r="Z471" s="10"/>
      <c r="AA471" s="16">
        <f>SUM(I471*J471)+(L471*M471)+(O471*P471)+(R471*S471)+(U471*V471)+(X471*Y471)</f>
        <v>0</v>
      </c>
      <c r="AB471" s="17" t="e">
        <f>AVERAGE(K471,N471,Q471,T471,W471,Z471)</f>
        <v>#DIV/0!</v>
      </c>
    </row>
    <row r="472" spans="2:28" hidden="1" x14ac:dyDescent="0.2">
      <c r="B472" s="10" t="s">
        <v>63</v>
      </c>
      <c r="C472" s="85"/>
      <c r="D472" s="96"/>
      <c r="E472" s="11"/>
      <c r="F472" s="86"/>
      <c r="G472" s="11"/>
      <c r="H472" s="88"/>
      <c r="I472" s="12"/>
      <c r="J472" s="13"/>
      <c r="K472" s="12"/>
      <c r="L472" s="106"/>
      <c r="M472" s="107"/>
      <c r="N472" s="106"/>
      <c r="O472" s="12"/>
      <c r="P472" s="13"/>
      <c r="Q472" s="12"/>
      <c r="R472" s="106"/>
      <c r="S472" s="107"/>
      <c r="T472" s="106"/>
      <c r="U472" s="12"/>
      <c r="V472" s="12"/>
      <c r="W472" s="12"/>
      <c r="X472" s="14"/>
      <c r="Y472" s="10"/>
      <c r="Z472" s="10"/>
      <c r="AA472" s="16">
        <f>SUM(I472*J472)+(L472*M472)+(O472*P472)+(R472*S472)+(U472*V472)+(X472*Y472)</f>
        <v>0</v>
      </c>
      <c r="AB472" s="17" t="e">
        <f>AVERAGE(K472,N472,Q472,T472,W472,Z472)</f>
        <v>#DIV/0!</v>
      </c>
    </row>
    <row r="473" spans="2:28" hidden="1" x14ac:dyDescent="0.2">
      <c r="B473" s="10" t="s">
        <v>64</v>
      </c>
      <c r="C473" s="85"/>
      <c r="D473" s="96"/>
      <c r="E473" s="11"/>
      <c r="F473" s="86"/>
      <c r="G473" s="11"/>
      <c r="H473" s="88"/>
      <c r="I473" s="12"/>
      <c r="J473" s="13"/>
      <c r="K473" s="12"/>
      <c r="L473" s="106"/>
      <c r="M473" s="107"/>
      <c r="N473" s="106"/>
      <c r="O473" s="12"/>
      <c r="P473" s="13"/>
      <c r="Q473" s="12"/>
      <c r="R473" s="106"/>
      <c r="S473" s="107"/>
      <c r="T473" s="106"/>
      <c r="U473" s="12"/>
      <c r="V473" s="12"/>
      <c r="W473" s="12"/>
      <c r="X473" s="14"/>
      <c r="Y473" s="10"/>
      <c r="Z473" s="10"/>
      <c r="AA473" s="16">
        <f>SUM(I473*J473)+(L473*M473)+(O473*P473)+(R473*S473)+(U473*V473)+(X473*Y473)</f>
        <v>0</v>
      </c>
      <c r="AB473" s="17" t="e">
        <f>AVERAGE(K473,N473,Q473,T473,W473,Z473)</f>
        <v>#DIV/0!</v>
      </c>
    </row>
    <row r="474" spans="2:28" hidden="1" x14ac:dyDescent="0.2">
      <c r="B474" s="10" t="s">
        <v>137</v>
      </c>
      <c r="C474" s="10"/>
      <c r="D474" s="10"/>
      <c r="E474" s="10"/>
      <c r="F474" s="10"/>
      <c r="G474" s="10"/>
      <c r="H474" s="10"/>
      <c r="I474" s="12"/>
      <c r="J474" s="13"/>
      <c r="K474" s="12"/>
      <c r="L474" s="106"/>
      <c r="M474" s="107"/>
      <c r="N474" s="106"/>
      <c r="O474" s="12"/>
      <c r="P474" s="13"/>
      <c r="Q474" s="12"/>
      <c r="R474" s="106"/>
      <c r="S474" s="107"/>
      <c r="T474" s="106"/>
      <c r="U474" s="12"/>
      <c r="V474" s="12"/>
      <c r="W474" s="12"/>
      <c r="X474" s="14"/>
      <c r="Y474" s="10"/>
      <c r="Z474" s="10"/>
      <c r="AA474" s="16">
        <f>SUM(I474*J474)+(L474*M474)+(O474*P474)+(R474*S474)+(U474*V474)+(X474*Y474)</f>
        <v>0</v>
      </c>
      <c r="AB474" s="17" t="e">
        <f>AVERAGE(K474,N474,Q474,T474,W474,Z474)</f>
        <v>#DIV/0!</v>
      </c>
    </row>
    <row r="475" spans="2:28" hidden="1" x14ac:dyDescent="0.2">
      <c r="B475" s="10" t="s">
        <v>139</v>
      </c>
      <c r="C475" s="10"/>
      <c r="D475" s="10"/>
      <c r="E475" s="10"/>
      <c r="F475" s="10"/>
      <c r="G475" s="10"/>
      <c r="H475" s="10"/>
      <c r="I475" s="12"/>
      <c r="J475" s="13"/>
      <c r="K475" s="12"/>
      <c r="L475" s="106"/>
      <c r="M475" s="107"/>
      <c r="N475" s="106"/>
      <c r="O475" s="12"/>
      <c r="P475" s="13"/>
      <c r="Q475" s="12"/>
      <c r="R475" s="106"/>
      <c r="S475" s="107"/>
      <c r="T475" s="106"/>
      <c r="U475" s="12"/>
      <c r="V475" s="12"/>
      <c r="W475" s="12"/>
      <c r="X475" s="14"/>
      <c r="Y475" s="10"/>
      <c r="Z475" s="10"/>
      <c r="AA475" s="16">
        <f t="shared" si="79"/>
        <v>0</v>
      </c>
      <c r="AB475" s="17" t="e">
        <f t="shared" si="78"/>
        <v>#DIV/0!</v>
      </c>
    </row>
    <row r="476" spans="2:28" hidden="1" x14ac:dyDescent="0.2">
      <c r="B476" s="125"/>
      <c r="C476" s="125"/>
      <c r="D476" s="125"/>
      <c r="E476" s="125"/>
      <c r="F476" s="125"/>
      <c r="G476" s="125"/>
      <c r="H476" s="125"/>
      <c r="I476" s="125"/>
      <c r="J476" s="126"/>
      <c r="K476" s="125"/>
      <c r="L476" s="125"/>
      <c r="M476" s="126"/>
      <c r="N476" s="125"/>
      <c r="O476" s="125"/>
      <c r="P476" s="126"/>
      <c r="Q476" s="125"/>
      <c r="R476" s="125"/>
      <c r="S476" s="126"/>
      <c r="T476" s="125"/>
      <c r="U476" s="125"/>
      <c r="V476" s="125"/>
      <c r="W476" s="125"/>
      <c r="X476" s="125"/>
      <c r="Y476" s="125"/>
      <c r="Z476" s="125"/>
      <c r="AA476" s="125"/>
      <c r="AB476" s="125"/>
    </row>
    <row r="477" spans="2:28" hidden="1" x14ac:dyDescent="0.2">
      <c r="B477" s="208" t="s">
        <v>142</v>
      </c>
      <c r="C477" s="208"/>
      <c r="D477" s="208"/>
      <c r="E477" s="208"/>
      <c r="F477" s="208"/>
      <c r="G477" s="208"/>
      <c r="H477" s="208"/>
      <c r="I477" s="206">
        <f>SUM(AA391+AA402+AA413+AA424+AA435+AA446+AA457+AA468)</f>
        <v>0</v>
      </c>
      <c r="J477" s="207"/>
      <c r="K477" s="207"/>
      <c r="L477" s="208" t="s">
        <v>143</v>
      </c>
      <c r="M477" s="208"/>
      <c r="N477" s="208"/>
      <c r="O477" s="208"/>
      <c r="P477" s="208"/>
      <c r="Q477" s="206">
        <f>SUM(AA392+AA403+AA414+AA425+AA436+AA447+AA458+AA469)</f>
        <v>0</v>
      </c>
      <c r="R477" s="207"/>
      <c r="S477" s="207"/>
      <c r="T477" s="216" t="s">
        <v>144</v>
      </c>
      <c r="U477" s="216"/>
      <c r="V477" s="216"/>
      <c r="W477" s="216"/>
      <c r="X477" s="216"/>
      <c r="Y477" s="216"/>
      <c r="Z477" s="216"/>
      <c r="AA477" s="216"/>
      <c r="AB477" s="216"/>
    </row>
    <row r="478" spans="2:28" hidden="1" x14ac:dyDescent="0.2">
      <c r="B478" s="208" t="s">
        <v>145</v>
      </c>
      <c r="C478" s="208"/>
      <c r="D478" s="208"/>
      <c r="E478" s="208"/>
      <c r="F478" s="208"/>
      <c r="G478" s="208"/>
      <c r="H478" s="208"/>
      <c r="I478" s="206">
        <f>SUM(AA393+AA404+AA415+AA426+AA437+AA448+AA459+AA470)</f>
        <v>0</v>
      </c>
      <c r="J478" s="207"/>
      <c r="K478" s="207"/>
      <c r="L478" s="208" t="s">
        <v>146</v>
      </c>
      <c r="M478" s="208"/>
      <c r="N478" s="208"/>
      <c r="O478" s="208"/>
      <c r="P478" s="208"/>
      <c r="Q478" s="206">
        <f>SUM(AA394+AA405+AA416+AA427+AA438+AA449+AA460+AA471)</f>
        <v>0</v>
      </c>
      <c r="R478" s="207"/>
      <c r="S478" s="207"/>
      <c r="T478" s="206">
        <f>SUM(I477+Q477+I478+Q478+I479+Q479+I480+Q480)</f>
        <v>0</v>
      </c>
      <c r="U478" s="207"/>
      <c r="V478" s="207"/>
      <c r="W478" s="207"/>
      <c r="X478" s="207"/>
      <c r="Y478" s="207"/>
      <c r="Z478" s="207"/>
      <c r="AA478" s="207"/>
      <c r="AB478" s="207"/>
    </row>
    <row r="479" spans="2:28" hidden="1" x14ac:dyDescent="0.2">
      <c r="B479" s="208" t="s">
        <v>147</v>
      </c>
      <c r="C479" s="208"/>
      <c r="D479" s="208"/>
      <c r="E479" s="208"/>
      <c r="F479" s="208"/>
      <c r="G479" s="208"/>
      <c r="H479" s="208"/>
      <c r="I479" s="206">
        <f>SUM(AA395+AA406+AA417+AA428+AA439+AA450+AA461+AA472)</f>
        <v>0</v>
      </c>
      <c r="J479" s="207"/>
      <c r="K479" s="207"/>
      <c r="L479" s="208" t="s">
        <v>148</v>
      </c>
      <c r="M479" s="208"/>
      <c r="N479" s="208"/>
      <c r="O479" s="208"/>
      <c r="P479" s="208"/>
      <c r="Q479" s="206">
        <f>SUM(AA396+AA407+AA418+AA429+AA440+AA451+AA462+AA473)</f>
        <v>0</v>
      </c>
      <c r="R479" s="207"/>
      <c r="S479" s="207"/>
      <c r="T479" s="149"/>
      <c r="U479" s="149"/>
      <c r="V479" s="149"/>
      <c r="W479" s="149"/>
      <c r="X479" s="149"/>
      <c r="Y479" s="149"/>
      <c r="Z479" s="149"/>
      <c r="AA479" s="149"/>
      <c r="AB479" s="149"/>
    </row>
    <row r="480" spans="2:28" hidden="1" x14ac:dyDescent="0.2">
      <c r="B480" s="208" t="s">
        <v>149</v>
      </c>
      <c r="C480" s="208"/>
      <c r="D480" s="208"/>
      <c r="E480" s="208"/>
      <c r="F480" s="208"/>
      <c r="G480" s="208"/>
      <c r="H480" s="208"/>
      <c r="I480" s="206">
        <f>SUM(AA397+AA408+AA419+AA430+AA441+AA452+AA463+AA474)</f>
        <v>0</v>
      </c>
      <c r="J480" s="207"/>
      <c r="K480" s="207"/>
      <c r="L480" s="208" t="s">
        <v>150</v>
      </c>
      <c r="M480" s="208"/>
      <c r="N480" s="208"/>
      <c r="O480" s="208"/>
      <c r="P480" s="208"/>
      <c r="Q480" s="206">
        <f>SUM(AA398+AA409+AA420+AA431+AA442+AA453+AA464+AA475)</f>
        <v>0</v>
      </c>
      <c r="R480" s="207"/>
      <c r="S480" s="207"/>
      <c r="T480" s="149"/>
      <c r="U480" s="149"/>
      <c r="V480" s="149"/>
      <c r="W480" s="149"/>
      <c r="X480" s="149"/>
      <c r="Y480" s="149"/>
      <c r="Z480" s="149"/>
      <c r="AA480" s="149"/>
      <c r="AB480" s="149"/>
    </row>
    <row r="481" spans="1:28" ht="9" hidden="1" customHeight="1" x14ac:dyDescent="0.2">
      <c r="B481" s="222" t="str">
        <f>'Exercise Selection'!C14</f>
        <v>Session 6</v>
      </c>
      <c r="C481" s="223"/>
      <c r="D481" s="223"/>
      <c r="E481" s="223"/>
      <c r="F481" s="223"/>
      <c r="G481" s="223"/>
      <c r="H481" s="223"/>
      <c r="I481" s="223"/>
      <c r="J481" s="223"/>
      <c r="K481" s="223"/>
      <c r="L481" s="223"/>
      <c r="M481" s="223"/>
      <c r="N481" s="223"/>
      <c r="O481" s="223"/>
      <c r="P481" s="223"/>
      <c r="Q481" s="223"/>
      <c r="R481" s="223"/>
      <c r="S481" s="223"/>
      <c r="T481" s="223"/>
      <c r="U481" s="223"/>
      <c r="V481" s="223"/>
      <c r="W481" s="223"/>
      <c r="X481" s="223"/>
      <c r="Y481" s="223"/>
      <c r="Z481" s="223"/>
      <c r="AA481" s="223"/>
      <c r="AB481" s="224"/>
    </row>
    <row r="482" spans="1:28" ht="9" hidden="1" customHeight="1" x14ac:dyDescent="0.2">
      <c r="B482" s="225"/>
      <c r="C482" s="211"/>
      <c r="D482" s="211"/>
      <c r="E482" s="211"/>
      <c r="F482" s="211"/>
      <c r="G482" s="211"/>
      <c r="H482" s="211"/>
      <c r="I482" s="211"/>
      <c r="J482" s="211"/>
      <c r="K482" s="211"/>
      <c r="L482" s="211"/>
      <c r="M482" s="211"/>
      <c r="N482" s="211"/>
      <c r="O482" s="211"/>
      <c r="P482" s="211"/>
      <c r="Q482" s="211"/>
      <c r="R482" s="211"/>
      <c r="S482" s="211"/>
      <c r="T482" s="211"/>
      <c r="U482" s="211"/>
      <c r="V482" s="211"/>
      <c r="W482" s="211"/>
      <c r="X482" s="211"/>
      <c r="Y482" s="211"/>
      <c r="Z482" s="211"/>
      <c r="AA482" s="211"/>
      <c r="AB482" s="226"/>
    </row>
    <row r="483" spans="1:28" ht="9" hidden="1" customHeight="1" x14ac:dyDescent="0.2">
      <c r="B483" s="227"/>
      <c r="C483" s="228"/>
      <c r="D483" s="228"/>
      <c r="E483" s="228"/>
      <c r="F483" s="228"/>
      <c r="G483" s="228"/>
      <c r="H483" s="228"/>
      <c r="I483" s="228"/>
      <c r="J483" s="228"/>
      <c r="K483" s="228"/>
      <c r="L483" s="228"/>
      <c r="M483" s="228"/>
      <c r="N483" s="228"/>
      <c r="O483" s="228"/>
      <c r="P483" s="228"/>
      <c r="Q483" s="228"/>
      <c r="R483" s="228"/>
      <c r="S483" s="228"/>
      <c r="T483" s="228"/>
      <c r="U483" s="228"/>
      <c r="V483" s="228"/>
      <c r="W483" s="228"/>
      <c r="X483" s="228"/>
      <c r="Y483" s="228"/>
      <c r="Z483" s="228"/>
      <c r="AA483" s="228"/>
      <c r="AB483" s="229"/>
    </row>
    <row r="484" spans="1:28" hidden="1" x14ac:dyDescent="0.2">
      <c r="B484" s="202" t="str">
        <f>'Exercise Selection'!C15</f>
        <v>(A1) Six</v>
      </c>
      <c r="C484" s="203"/>
      <c r="D484" s="203"/>
      <c r="E484" s="203"/>
      <c r="F484" s="203"/>
      <c r="G484" s="203"/>
      <c r="H484" s="203"/>
      <c r="I484" s="202" t="s">
        <v>119</v>
      </c>
      <c r="J484" s="203"/>
      <c r="K484" s="203"/>
      <c r="L484" s="202" t="s">
        <v>120</v>
      </c>
      <c r="M484" s="203"/>
      <c r="N484" s="203"/>
      <c r="O484" s="202" t="s">
        <v>121</v>
      </c>
      <c r="P484" s="203"/>
      <c r="Q484" s="203"/>
      <c r="R484" s="202" t="s">
        <v>122</v>
      </c>
      <c r="S484" s="203"/>
      <c r="T484" s="203"/>
      <c r="U484" s="202" t="s">
        <v>123</v>
      </c>
      <c r="V484" s="203"/>
      <c r="W484" s="203"/>
      <c r="X484" s="202" t="s">
        <v>124</v>
      </c>
      <c r="Y484" s="203"/>
      <c r="Z484" s="203"/>
      <c r="AA484" s="202" t="s">
        <v>126</v>
      </c>
      <c r="AB484" s="212" t="s">
        <v>127</v>
      </c>
    </row>
    <row r="485" spans="1:28" hidden="1" x14ac:dyDescent="0.2">
      <c r="A485" s="18" t="s">
        <v>171</v>
      </c>
      <c r="B485" s="204"/>
      <c r="C485" s="205"/>
      <c r="D485" s="205"/>
      <c r="E485" s="205"/>
      <c r="F485" s="205"/>
      <c r="G485" s="205"/>
      <c r="H485" s="205"/>
      <c r="I485" s="148"/>
      <c r="J485" s="148"/>
      <c r="K485" s="148"/>
      <c r="L485" s="148"/>
      <c r="M485" s="148"/>
      <c r="N485" s="148"/>
      <c r="O485" s="148"/>
      <c r="P485" s="148"/>
      <c r="Q485" s="148"/>
      <c r="R485" s="148"/>
      <c r="S485" s="148"/>
      <c r="T485" s="148"/>
      <c r="U485" s="148"/>
      <c r="V485" s="148"/>
      <c r="W485" s="148"/>
      <c r="X485" s="148"/>
      <c r="Y485" s="148"/>
      <c r="Z485" s="148"/>
      <c r="AA485" s="203"/>
      <c r="AB485" s="213"/>
    </row>
    <row r="486" spans="1:28" hidden="1" x14ac:dyDescent="0.2">
      <c r="B486" s="80" t="s">
        <v>128</v>
      </c>
      <c r="C486" s="80" t="s">
        <v>129</v>
      </c>
      <c r="D486" s="80" t="s">
        <v>38</v>
      </c>
      <c r="E486" s="80" t="s">
        <v>130</v>
      </c>
      <c r="F486" s="80" t="s">
        <v>131</v>
      </c>
      <c r="G486" s="81" t="s">
        <v>132</v>
      </c>
      <c r="H486" s="79" t="s">
        <v>133</v>
      </c>
      <c r="I486" s="83" t="s">
        <v>134</v>
      </c>
      <c r="J486" s="83" t="s">
        <v>135</v>
      </c>
      <c r="K486" s="83" t="s">
        <v>133</v>
      </c>
      <c r="L486" s="83" t="s">
        <v>134</v>
      </c>
      <c r="M486" s="83" t="s">
        <v>135</v>
      </c>
      <c r="N486" s="83" t="s">
        <v>133</v>
      </c>
      <c r="O486" s="83" t="s">
        <v>134</v>
      </c>
      <c r="P486" s="83" t="s">
        <v>135</v>
      </c>
      <c r="Q486" s="83" t="s">
        <v>133</v>
      </c>
      <c r="R486" s="83" t="s">
        <v>134</v>
      </c>
      <c r="S486" s="83" t="s">
        <v>135</v>
      </c>
      <c r="T486" s="83" t="s">
        <v>133</v>
      </c>
      <c r="U486" s="83" t="s">
        <v>134</v>
      </c>
      <c r="V486" s="83" t="s">
        <v>135</v>
      </c>
      <c r="W486" s="83" t="s">
        <v>133</v>
      </c>
      <c r="X486" s="83" t="s">
        <v>134</v>
      </c>
      <c r="Y486" s="83" t="s">
        <v>135</v>
      </c>
      <c r="Z486" s="84" t="s">
        <v>133</v>
      </c>
      <c r="AA486" s="203"/>
      <c r="AB486" s="213"/>
    </row>
    <row r="487" spans="1:28" hidden="1" x14ac:dyDescent="0.2">
      <c r="B487" s="10" t="s">
        <v>59</v>
      </c>
      <c r="C487" s="97"/>
      <c r="D487" s="92"/>
      <c r="E487" s="92"/>
      <c r="F487" s="92"/>
      <c r="G487" s="92"/>
      <c r="H487" s="10"/>
      <c r="I487" s="12"/>
      <c r="J487" s="13"/>
      <c r="K487" s="12"/>
      <c r="L487" s="106"/>
      <c r="M487" s="107"/>
      <c r="N487" s="106"/>
      <c r="O487" s="12"/>
      <c r="P487" s="13"/>
      <c r="Q487" s="12"/>
      <c r="R487" s="106"/>
      <c r="S487" s="107"/>
      <c r="T487" s="106"/>
      <c r="U487" s="33"/>
      <c r="V487" s="34"/>
      <c r="W487" s="33"/>
      <c r="X487" s="14"/>
      <c r="Y487" s="10"/>
      <c r="Z487" s="10"/>
      <c r="AA487" s="37">
        <f t="shared" ref="AA487:AA494" si="80">SUM(I487*J487)+(L487*M487)+(O487*P487)+(R487*S487)+(U487*V487)+(X487*Y487)</f>
        <v>0</v>
      </c>
      <c r="AB487" s="17" t="e">
        <f>AVERAGE(K487,N487,Q487,T487,W487,Z487)</f>
        <v>#DIV/0!</v>
      </c>
    </row>
    <row r="488" spans="1:28" hidden="1" x14ac:dyDescent="0.2">
      <c r="B488" s="10" t="s">
        <v>60</v>
      </c>
      <c r="C488" s="98"/>
      <c r="D488" s="86"/>
      <c r="E488" s="86"/>
      <c r="F488" s="86"/>
      <c r="G488" s="86"/>
      <c r="H488" s="10"/>
      <c r="I488" s="12"/>
      <c r="J488" s="13"/>
      <c r="K488" s="12"/>
      <c r="L488" s="106"/>
      <c r="M488" s="107"/>
      <c r="N488" s="106"/>
      <c r="O488" s="12"/>
      <c r="P488" s="13"/>
      <c r="Q488" s="12"/>
      <c r="R488" s="106"/>
      <c r="S488" s="107"/>
      <c r="T488" s="106"/>
      <c r="U488" s="33"/>
      <c r="V488" s="33"/>
      <c r="W488" s="33"/>
      <c r="X488" s="14"/>
      <c r="Y488" s="10"/>
      <c r="Z488" s="10"/>
      <c r="AA488" s="38">
        <f t="shared" si="80"/>
        <v>0</v>
      </c>
      <c r="AB488" s="17" t="e">
        <f t="shared" ref="AB488:AB494" si="81">AVERAGE(K488,N488,Q488,T488,W488,Z488)</f>
        <v>#DIV/0!</v>
      </c>
    </row>
    <row r="489" spans="1:28" hidden="1" x14ac:dyDescent="0.2">
      <c r="B489" s="10" t="s">
        <v>61</v>
      </c>
      <c r="C489" s="98"/>
      <c r="D489" s="86"/>
      <c r="E489" s="86"/>
      <c r="F489" s="86"/>
      <c r="G489" s="86"/>
      <c r="H489" s="10"/>
      <c r="I489" s="12"/>
      <c r="J489" s="13"/>
      <c r="K489" s="12"/>
      <c r="L489" s="106"/>
      <c r="M489" s="107"/>
      <c r="N489" s="106"/>
      <c r="O489" s="12"/>
      <c r="P489" s="13"/>
      <c r="Q489" s="12"/>
      <c r="R489" s="106"/>
      <c r="S489" s="107"/>
      <c r="T489" s="106"/>
      <c r="U489" s="33"/>
      <c r="V489" s="33"/>
      <c r="W489" s="33"/>
      <c r="X489" s="14"/>
      <c r="Y489" s="10"/>
      <c r="Z489" s="10"/>
      <c r="AA489" s="38">
        <f t="shared" si="80"/>
        <v>0</v>
      </c>
      <c r="AB489" s="17" t="e">
        <f t="shared" si="81"/>
        <v>#DIV/0!</v>
      </c>
    </row>
    <row r="490" spans="1:28" hidden="1" x14ac:dyDescent="0.2">
      <c r="B490" s="10" t="s">
        <v>62</v>
      </c>
      <c r="C490" s="99"/>
      <c r="D490" s="87"/>
      <c r="E490" s="87"/>
      <c r="F490" s="87"/>
      <c r="G490" s="87"/>
      <c r="H490" s="11"/>
      <c r="I490" s="12"/>
      <c r="J490" s="13"/>
      <c r="K490" s="12"/>
      <c r="L490" s="106"/>
      <c r="M490" s="107"/>
      <c r="N490" s="106"/>
      <c r="O490" s="12"/>
      <c r="P490" s="13"/>
      <c r="Q490" s="12"/>
      <c r="R490" s="106"/>
      <c r="S490" s="107"/>
      <c r="T490" s="106"/>
      <c r="U490" s="33"/>
      <c r="V490" s="33"/>
      <c r="W490" s="33"/>
      <c r="X490" s="14"/>
      <c r="Y490" s="10"/>
      <c r="Z490" s="10"/>
      <c r="AA490" s="38">
        <f t="shared" si="80"/>
        <v>0</v>
      </c>
      <c r="AB490" s="17" t="e">
        <f t="shared" si="81"/>
        <v>#DIV/0!</v>
      </c>
    </row>
    <row r="491" spans="1:28" hidden="1" x14ac:dyDescent="0.2">
      <c r="B491" s="10" t="s">
        <v>63</v>
      </c>
      <c r="C491" s="11"/>
      <c r="D491" s="88"/>
      <c r="E491" s="88"/>
      <c r="F491" s="88"/>
      <c r="G491" s="88"/>
      <c r="H491" s="11"/>
      <c r="I491" s="12"/>
      <c r="J491" s="13"/>
      <c r="K491" s="12"/>
      <c r="L491" s="106"/>
      <c r="M491" s="107"/>
      <c r="N491" s="106"/>
      <c r="O491" s="12"/>
      <c r="P491" s="13"/>
      <c r="Q491" s="12"/>
      <c r="R491" s="106"/>
      <c r="S491" s="107"/>
      <c r="T491" s="106"/>
      <c r="U491" s="35"/>
      <c r="V491" s="35"/>
      <c r="W491" s="35"/>
      <c r="X491" s="20"/>
      <c r="Y491" s="11"/>
      <c r="Z491" s="11"/>
      <c r="AA491" s="38">
        <f t="shared" si="80"/>
        <v>0</v>
      </c>
      <c r="AB491" s="17" t="e">
        <f t="shared" si="81"/>
        <v>#DIV/0!</v>
      </c>
    </row>
    <row r="492" spans="1:28" hidden="1" x14ac:dyDescent="0.2">
      <c r="B492" s="10" t="s">
        <v>64</v>
      </c>
      <c r="C492" s="11"/>
      <c r="D492" s="11"/>
      <c r="E492" s="11"/>
      <c r="F492" s="11"/>
      <c r="G492" s="11"/>
      <c r="H492" s="11"/>
      <c r="I492" s="12"/>
      <c r="J492" s="13"/>
      <c r="K492" s="12"/>
      <c r="L492" s="106"/>
      <c r="M492" s="107"/>
      <c r="N492" s="106"/>
      <c r="O492" s="12"/>
      <c r="P492" s="13"/>
      <c r="Q492" s="12"/>
      <c r="R492" s="106"/>
      <c r="S492" s="107"/>
      <c r="T492" s="106"/>
      <c r="U492" s="35"/>
      <c r="V492" s="35"/>
      <c r="W492" s="35"/>
      <c r="X492" s="20"/>
      <c r="Y492" s="11"/>
      <c r="Z492" s="11"/>
      <c r="AA492" s="38">
        <f t="shared" si="80"/>
        <v>0</v>
      </c>
      <c r="AB492" s="17" t="e">
        <f t="shared" si="81"/>
        <v>#DIV/0!</v>
      </c>
    </row>
    <row r="493" spans="1:28" hidden="1" x14ac:dyDescent="0.2">
      <c r="B493" s="10" t="s">
        <v>137</v>
      </c>
      <c r="C493" s="11"/>
      <c r="D493" s="11"/>
      <c r="E493" s="11"/>
      <c r="F493" s="11"/>
      <c r="G493" s="11"/>
      <c r="H493" s="11"/>
      <c r="I493" s="12"/>
      <c r="J493" s="13"/>
      <c r="K493" s="12"/>
      <c r="L493" s="106"/>
      <c r="M493" s="107"/>
      <c r="N493" s="106"/>
      <c r="O493" s="12"/>
      <c r="P493" s="13"/>
      <c r="Q493" s="12"/>
      <c r="R493" s="106"/>
      <c r="S493" s="107"/>
      <c r="T493" s="106"/>
      <c r="U493" s="35"/>
      <c r="V493" s="35"/>
      <c r="W493" s="35"/>
      <c r="X493" s="20"/>
      <c r="Y493" s="11"/>
      <c r="Z493" s="11"/>
      <c r="AA493" s="38">
        <f t="shared" si="80"/>
        <v>0</v>
      </c>
      <c r="AB493" s="17" t="e">
        <f t="shared" si="81"/>
        <v>#DIV/0!</v>
      </c>
    </row>
    <row r="494" spans="1:28" hidden="1" x14ac:dyDescent="0.2">
      <c r="B494" s="10" t="s">
        <v>139</v>
      </c>
      <c r="C494" s="11"/>
      <c r="D494" s="11"/>
      <c r="E494" s="11"/>
      <c r="F494" s="11"/>
      <c r="G494" s="11"/>
      <c r="H494" s="11"/>
      <c r="I494" s="12"/>
      <c r="J494" s="13"/>
      <c r="K494" s="12"/>
      <c r="L494" s="106"/>
      <c r="M494" s="107"/>
      <c r="N494" s="106"/>
      <c r="O494" s="12"/>
      <c r="P494" s="13"/>
      <c r="Q494" s="12"/>
      <c r="R494" s="106"/>
      <c r="S494" s="107"/>
      <c r="T494" s="106"/>
      <c r="U494" s="35"/>
      <c r="V494" s="35"/>
      <c r="W494" s="35"/>
      <c r="X494" s="20"/>
      <c r="Y494" s="11"/>
      <c r="Z494" s="11"/>
      <c r="AA494" s="39">
        <f t="shared" si="80"/>
        <v>0</v>
      </c>
      <c r="AB494" s="17" t="e">
        <f t="shared" si="81"/>
        <v>#DIV/0!</v>
      </c>
    </row>
    <row r="495" spans="1:28" hidden="1" x14ac:dyDescent="0.2">
      <c r="B495" s="214" t="str">
        <f>'Exercise Selection'!C16</f>
        <v>(A2) Six</v>
      </c>
      <c r="C495" s="215"/>
      <c r="D495" s="215"/>
      <c r="E495" s="215"/>
      <c r="F495" s="215"/>
      <c r="G495" s="215"/>
      <c r="H495" s="215"/>
      <c r="I495" s="202" t="s">
        <v>119</v>
      </c>
      <c r="J495" s="203"/>
      <c r="K495" s="203"/>
      <c r="L495" s="202" t="s">
        <v>120</v>
      </c>
      <c r="M495" s="203"/>
      <c r="N495" s="203"/>
      <c r="O495" s="202" t="s">
        <v>121</v>
      </c>
      <c r="P495" s="203"/>
      <c r="Q495" s="203"/>
      <c r="R495" s="202" t="s">
        <v>122</v>
      </c>
      <c r="S495" s="203"/>
      <c r="T495" s="203"/>
      <c r="U495" s="202" t="s">
        <v>123</v>
      </c>
      <c r="V495" s="203"/>
      <c r="W495" s="203"/>
      <c r="X495" s="202" t="s">
        <v>124</v>
      </c>
      <c r="Y495" s="203"/>
      <c r="Z495" s="203"/>
      <c r="AA495" s="202" t="s">
        <v>126</v>
      </c>
      <c r="AB495" s="212" t="s">
        <v>127</v>
      </c>
    </row>
    <row r="496" spans="1:28" hidden="1" x14ac:dyDescent="0.2">
      <c r="B496" s="202"/>
      <c r="C496" s="203"/>
      <c r="D496" s="203"/>
      <c r="E496" s="203"/>
      <c r="F496" s="203"/>
      <c r="G496" s="203"/>
      <c r="H496" s="203"/>
      <c r="I496" s="148"/>
      <c r="J496" s="148"/>
      <c r="K496" s="148"/>
      <c r="L496" s="148"/>
      <c r="M496" s="148"/>
      <c r="N496" s="148"/>
      <c r="O496" s="148"/>
      <c r="P496" s="148"/>
      <c r="Q496" s="148"/>
      <c r="R496" s="148"/>
      <c r="S496" s="148"/>
      <c r="T496" s="148"/>
      <c r="U496" s="148"/>
      <c r="V496" s="148"/>
      <c r="W496" s="148"/>
      <c r="X496" s="148"/>
      <c r="Y496" s="148"/>
      <c r="Z496" s="148"/>
      <c r="AA496" s="203"/>
      <c r="AB496" s="213"/>
    </row>
    <row r="497" spans="2:28" hidden="1" x14ac:dyDescent="0.2">
      <c r="B497" s="80" t="s">
        <v>128</v>
      </c>
      <c r="C497" s="80" t="s">
        <v>129</v>
      </c>
      <c r="D497" s="80" t="s">
        <v>38</v>
      </c>
      <c r="E497" s="80" t="s">
        <v>130</v>
      </c>
      <c r="F497" s="80" t="s">
        <v>131</v>
      </c>
      <c r="G497" s="81" t="s">
        <v>132</v>
      </c>
      <c r="H497" s="79" t="s">
        <v>133</v>
      </c>
      <c r="I497" s="83" t="s">
        <v>134</v>
      </c>
      <c r="J497" s="83" t="s">
        <v>135</v>
      </c>
      <c r="K497" s="83" t="s">
        <v>133</v>
      </c>
      <c r="L497" s="83" t="s">
        <v>134</v>
      </c>
      <c r="M497" s="83" t="s">
        <v>135</v>
      </c>
      <c r="N497" s="83" t="s">
        <v>133</v>
      </c>
      <c r="O497" s="83" t="s">
        <v>134</v>
      </c>
      <c r="P497" s="83" t="s">
        <v>135</v>
      </c>
      <c r="Q497" s="83" t="s">
        <v>133</v>
      </c>
      <c r="R497" s="83" t="s">
        <v>134</v>
      </c>
      <c r="S497" s="83" t="s">
        <v>135</v>
      </c>
      <c r="T497" s="83" t="s">
        <v>133</v>
      </c>
      <c r="U497" s="83" t="s">
        <v>134</v>
      </c>
      <c r="V497" s="83" t="s">
        <v>135</v>
      </c>
      <c r="W497" s="83" t="s">
        <v>133</v>
      </c>
      <c r="X497" s="83" t="s">
        <v>134</v>
      </c>
      <c r="Y497" s="83" t="s">
        <v>135</v>
      </c>
      <c r="Z497" s="84" t="s">
        <v>133</v>
      </c>
      <c r="AA497" s="203"/>
      <c r="AB497" s="213"/>
    </row>
    <row r="498" spans="2:28" hidden="1" x14ac:dyDescent="0.2">
      <c r="B498" s="10" t="s">
        <v>59</v>
      </c>
      <c r="C498" s="97"/>
      <c r="D498" s="92"/>
      <c r="E498" s="92"/>
      <c r="F498" s="92"/>
      <c r="G498" s="92"/>
      <c r="H498" s="10"/>
      <c r="I498" s="12"/>
      <c r="J498" s="13"/>
      <c r="K498" s="12"/>
      <c r="L498" s="106"/>
      <c r="M498" s="107"/>
      <c r="N498" s="106"/>
      <c r="O498" s="12"/>
      <c r="P498" s="13"/>
      <c r="Q498" s="12"/>
      <c r="R498" s="106"/>
      <c r="S498" s="107"/>
      <c r="T498" s="106"/>
      <c r="U498" s="33"/>
      <c r="V498" s="34"/>
      <c r="W498" s="33"/>
      <c r="X498" s="14"/>
      <c r="Y498" s="10"/>
      <c r="Z498" s="10"/>
      <c r="AA498" s="37">
        <f t="shared" ref="AA498:AA505" si="82">SUM(I498*J498)+(L498*M498)+(O498*P498)+(R498*S498)+(U498*V498)+(X498*Y498)</f>
        <v>0</v>
      </c>
      <c r="AB498" s="17" t="e">
        <f>AVERAGE(K498,N498,Q498,T498,W498,Z498)</f>
        <v>#DIV/0!</v>
      </c>
    </row>
    <row r="499" spans="2:28" hidden="1" x14ac:dyDescent="0.2">
      <c r="B499" s="10" t="s">
        <v>60</v>
      </c>
      <c r="C499" s="98"/>
      <c r="D499" s="86"/>
      <c r="E499" s="86"/>
      <c r="F499" s="86"/>
      <c r="G499" s="86"/>
      <c r="H499" s="10"/>
      <c r="I499" s="12"/>
      <c r="J499" s="13"/>
      <c r="K499" s="12"/>
      <c r="L499" s="106"/>
      <c r="M499" s="107"/>
      <c r="N499" s="106"/>
      <c r="O499" s="12"/>
      <c r="P499" s="13"/>
      <c r="Q499" s="12"/>
      <c r="R499" s="106"/>
      <c r="S499" s="107"/>
      <c r="T499" s="106"/>
      <c r="U499" s="33"/>
      <c r="V499" s="33"/>
      <c r="W499" s="33"/>
      <c r="X499" s="14"/>
      <c r="Y499" s="10"/>
      <c r="Z499" s="10"/>
      <c r="AA499" s="38">
        <f t="shared" si="82"/>
        <v>0</v>
      </c>
      <c r="AB499" s="17" t="e">
        <f t="shared" ref="AB499:AB505" si="83">AVERAGE(K499,N499,Q499,T499,W499,Z499)</f>
        <v>#DIV/0!</v>
      </c>
    </row>
    <row r="500" spans="2:28" hidden="1" x14ac:dyDescent="0.2">
      <c r="B500" s="10" t="s">
        <v>61</v>
      </c>
      <c r="C500" s="98"/>
      <c r="D500" s="105"/>
      <c r="E500" s="105"/>
      <c r="F500" s="105"/>
      <c r="G500" s="105"/>
      <c r="H500" s="10"/>
      <c r="I500" s="12"/>
      <c r="J500" s="13"/>
      <c r="K500" s="12"/>
      <c r="L500" s="106"/>
      <c r="M500" s="107"/>
      <c r="N500" s="106"/>
      <c r="O500" s="12"/>
      <c r="P500" s="13"/>
      <c r="Q500" s="12"/>
      <c r="R500" s="106"/>
      <c r="S500" s="107"/>
      <c r="T500" s="106"/>
      <c r="U500" s="33"/>
      <c r="V500" s="33"/>
      <c r="W500" s="33"/>
      <c r="X500" s="14"/>
      <c r="Y500" s="10"/>
      <c r="Z500" s="10"/>
      <c r="AA500" s="38">
        <f t="shared" si="82"/>
        <v>0</v>
      </c>
      <c r="AB500" s="17" t="e">
        <f t="shared" si="83"/>
        <v>#DIV/0!</v>
      </c>
    </row>
    <row r="501" spans="2:28" hidden="1" x14ac:dyDescent="0.2">
      <c r="B501" s="10" t="s">
        <v>62</v>
      </c>
      <c r="C501" s="99"/>
      <c r="D501" s="105"/>
      <c r="E501" s="105"/>
      <c r="F501" s="105"/>
      <c r="G501" s="105"/>
      <c r="H501" s="10"/>
      <c r="I501" s="12"/>
      <c r="J501" s="13"/>
      <c r="K501" s="12"/>
      <c r="L501" s="106"/>
      <c r="M501" s="107"/>
      <c r="N501" s="106"/>
      <c r="O501" s="12"/>
      <c r="P501" s="13"/>
      <c r="Q501" s="12"/>
      <c r="R501" s="106"/>
      <c r="S501" s="107"/>
      <c r="T501" s="106"/>
      <c r="U501" s="35"/>
      <c r="V501" s="35"/>
      <c r="W501" s="35"/>
      <c r="X501" s="20"/>
      <c r="Y501" s="11"/>
      <c r="Z501" s="11"/>
      <c r="AA501" s="38">
        <f t="shared" si="82"/>
        <v>0</v>
      </c>
      <c r="AB501" s="17" t="e">
        <f t="shared" si="83"/>
        <v>#DIV/0!</v>
      </c>
    </row>
    <row r="502" spans="2:28" hidden="1" x14ac:dyDescent="0.2">
      <c r="B502" s="10" t="s">
        <v>63</v>
      </c>
      <c r="C502" s="11"/>
      <c r="D502" s="105"/>
      <c r="E502" s="105"/>
      <c r="F502" s="105"/>
      <c r="G502" s="105"/>
      <c r="H502" s="10"/>
      <c r="I502" s="12"/>
      <c r="J502" s="13"/>
      <c r="K502" s="12"/>
      <c r="L502" s="106"/>
      <c r="M502" s="107"/>
      <c r="N502" s="106"/>
      <c r="O502" s="12"/>
      <c r="P502" s="13"/>
      <c r="Q502" s="12"/>
      <c r="R502" s="106"/>
      <c r="S502" s="107"/>
      <c r="T502" s="106"/>
      <c r="U502" s="35"/>
      <c r="V502" s="35"/>
      <c r="W502" s="35"/>
      <c r="X502" s="20"/>
      <c r="Y502" s="11"/>
      <c r="Z502" s="11"/>
      <c r="AA502" s="38">
        <f t="shared" si="82"/>
        <v>0</v>
      </c>
      <c r="AB502" s="17" t="e">
        <f t="shared" si="83"/>
        <v>#DIV/0!</v>
      </c>
    </row>
    <row r="503" spans="2:28" hidden="1" x14ac:dyDescent="0.2">
      <c r="B503" s="85" t="s">
        <v>64</v>
      </c>
      <c r="C503" s="88"/>
      <c r="D503" s="105"/>
      <c r="E503" s="105"/>
      <c r="F503" s="105"/>
      <c r="G503" s="105"/>
      <c r="H503" s="105"/>
      <c r="I503" s="12"/>
      <c r="J503" s="13"/>
      <c r="K503" s="12"/>
      <c r="L503" s="106"/>
      <c r="M503" s="107"/>
      <c r="N503" s="106"/>
      <c r="O503" s="12"/>
      <c r="P503" s="13"/>
      <c r="Q503" s="12"/>
      <c r="R503" s="106"/>
      <c r="S503" s="107"/>
      <c r="T503" s="106"/>
      <c r="U503" s="35"/>
      <c r="V503" s="35"/>
      <c r="W503" s="35"/>
      <c r="X503" s="20"/>
      <c r="Y503" s="11"/>
      <c r="Z503" s="11"/>
      <c r="AA503" s="38">
        <f t="shared" si="82"/>
        <v>0</v>
      </c>
      <c r="AB503" s="17" t="e">
        <f t="shared" si="83"/>
        <v>#DIV/0!</v>
      </c>
    </row>
    <row r="504" spans="2:28" hidden="1" x14ac:dyDescent="0.2">
      <c r="B504" s="10" t="s">
        <v>137</v>
      </c>
      <c r="C504" s="11"/>
      <c r="D504" s="10"/>
      <c r="E504" s="10"/>
      <c r="F504" s="10"/>
      <c r="G504" s="10"/>
      <c r="H504" s="10"/>
      <c r="I504" s="12"/>
      <c r="J504" s="13"/>
      <c r="K504" s="12"/>
      <c r="L504" s="106"/>
      <c r="M504" s="107"/>
      <c r="N504" s="106"/>
      <c r="O504" s="12"/>
      <c r="P504" s="13"/>
      <c r="Q504" s="12"/>
      <c r="R504" s="106"/>
      <c r="S504" s="107"/>
      <c r="T504" s="106"/>
      <c r="U504" s="35"/>
      <c r="V504" s="35"/>
      <c r="W504" s="35"/>
      <c r="X504" s="20"/>
      <c r="Y504" s="11"/>
      <c r="Z504" s="11"/>
      <c r="AA504" s="38">
        <f t="shared" si="82"/>
        <v>0</v>
      </c>
      <c r="AB504" s="17" t="e">
        <f t="shared" si="83"/>
        <v>#DIV/0!</v>
      </c>
    </row>
    <row r="505" spans="2:28" hidden="1" x14ac:dyDescent="0.2">
      <c r="B505" s="10" t="s">
        <v>139</v>
      </c>
      <c r="C505" s="11"/>
      <c r="D505" s="11"/>
      <c r="E505" s="11"/>
      <c r="F505" s="11"/>
      <c r="G505" s="11"/>
      <c r="H505" s="11"/>
      <c r="I505" s="12"/>
      <c r="J505" s="13"/>
      <c r="K505" s="12"/>
      <c r="L505" s="106"/>
      <c r="M505" s="107"/>
      <c r="N505" s="106"/>
      <c r="O505" s="12"/>
      <c r="P505" s="13"/>
      <c r="Q505" s="12"/>
      <c r="R505" s="106"/>
      <c r="S505" s="107"/>
      <c r="T505" s="106"/>
      <c r="U505" s="35"/>
      <c r="V505" s="35"/>
      <c r="W505" s="35"/>
      <c r="X505" s="20"/>
      <c r="Y505" s="11"/>
      <c r="Z505" s="11"/>
      <c r="AA505" s="39">
        <f t="shared" si="82"/>
        <v>0</v>
      </c>
      <c r="AB505" s="17" t="e">
        <f t="shared" si="83"/>
        <v>#DIV/0!</v>
      </c>
    </row>
    <row r="506" spans="2:28" hidden="1" x14ac:dyDescent="0.2">
      <c r="B506" s="202" t="str">
        <f>'Exercise Selection'!C17</f>
        <v>(B1) Six</v>
      </c>
      <c r="C506" s="203"/>
      <c r="D506" s="203"/>
      <c r="E506" s="203"/>
      <c r="F506" s="203"/>
      <c r="G506" s="203"/>
      <c r="H506" s="203"/>
      <c r="I506" s="202" t="s">
        <v>119</v>
      </c>
      <c r="J506" s="203"/>
      <c r="K506" s="203"/>
      <c r="L506" s="202" t="s">
        <v>120</v>
      </c>
      <c r="M506" s="203"/>
      <c r="N506" s="203"/>
      <c r="O506" s="202" t="s">
        <v>121</v>
      </c>
      <c r="P506" s="203"/>
      <c r="Q506" s="203"/>
      <c r="R506" s="202" t="s">
        <v>122</v>
      </c>
      <c r="S506" s="203"/>
      <c r="T506" s="203"/>
      <c r="U506" s="202" t="s">
        <v>123</v>
      </c>
      <c r="V506" s="203"/>
      <c r="W506" s="203"/>
      <c r="X506" s="202" t="s">
        <v>124</v>
      </c>
      <c r="Y506" s="203"/>
      <c r="Z506" s="203"/>
      <c r="AA506" s="202" t="s">
        <v>126</v>
      </c>
      <c r="AB506" s="212" t="s">
        <v>127</v>
      </c>
    </row>
    <row r="507" spans="2:28" hidden="1" x14ac:dyDescent="0.2">
      <c r="B507" s="202"/>
      <c r="C507" s="203"/>
      <c r="D507" s="203"/>
      <c r="E507" s="203"/>
      <c r="F507" s="203"/>
      <c r="G507" s="203"/>
      <c r="H507" s="203"/>
      <c r="I507" s="148"/>
      <c r="J507" s="148"/>
      <c r="K507" s="148"/>
      <c r="L507" s="148"/>
      <c r="M507" s="148"/>
      <c r="N507" s="148"/>
      <c r="O507" s="148"/>
      <c r="P507" s="148"/>
      <c r="Q507" s="148"/>
      <c r="R507" s="148"/>
      <c r="S507" s="148"/>
      <c r="T507" s="148"/>
      <c r="U507" s="148"/>
      <c r="V507" s="148"/>
      <c r="W507" s="148"/>
      <c r="X507" s="148"/>
      <c r="Y507" s="148"/>
      <c r="Z507" s="148"/>
      <c r="AA507" s="203"/>
      <c r="AB507" s="213"/>
    </row>
    <row r="508" spans="2:28" hidden="1" x14ac:dyDescent="0.2">
      <c r="B508" s="80" t="s">
        <v>128</v>
      </c>
      <c r="C508" s="80" t="s">
        <v>129</v>
      </c>
      <c r="D508" s="80" t="s">
        <v>38</v>
      </c>
      <c r="E508" s="80" t="s">
        <v>130</v>
      </c>
      <c r="F508" s="80" t="s">
        <v>131</v>
      </c>
      <c r="G508" s="81" t="s">
        <v>132</v>
      </c>
      <c r="H508" s="79" t="s">
        <v>133</v>
      </c>
      <c r="I508" s="83" t="s">
        <v>134</v>
      </c>
      <c r="J508" s="83" t="s">
        <v>135</v>
      </c>
      <c r="K508" s="83" t="s">
        <v>133</v>
      </c>
      <c r="L508" s="83" t="s">
        <v>134</v>
      </c>
      <c r="M508" s="83" t="s">
        <v>135</v>
      </c>
      <c r="N508" s="83" t="s">
        <v>133</v>
      </c>
      <c r="O508" s="83" t="s">
        <v>134</v>
      </c>
      <c r="P508" s="83" t="s">
        <v>135</v>
      </c>
      <c r="Q508" s="83" t="s">
        <v>133</v>
      </c>
      <c r="R508" s="83" t="s">
        <v>134</v>
      </c>
      <c r="S508" s="83" t="s">
        <v>135</v>
      </c>
      <c r="T508" s="83" t="s">
        <v>133</v>
      </c>
      <c r="U508" s="83" t="s">
        <v>134</v>
      </c>
      <c r="V508" s="83" t="s">
        <v>135</v>
      </c>
      <c r="W508" s="83" t="s">
        <v>133</v>
      </c>
      <c r="X508" s="83" t="s">
        <v>134</v>
      </c>
      <c r="Y508" s="83" t="s">
        <v>135</v>
      </c>
      <c r="Z508" s="84" t="s">
        <v>133</v>
      </c>
      <c r="AA508" s="203"/>
      <c r="AB508" s="213"/>
    </row>
    <row r="509" spans="2:28" hidden="1" x14ac:dyDescent="0.2">
      <c r="B509" s="10" t="s">
        <v>59</v>
      </c>
      <c r="C509" s="97"/>
      <c r="D509" s="92"/>
      <c r="E509" s="92"/>
      <c r="F509" s="92"/>
      <c r="G509" s="92"/>
      <c r="H509" s="10"/>
      <c r="I509" s="12"/>
      <c r="J509" s="13"/>
      <c r="K509" s="12"/>
      <c r="L509" s="106"/>
      <c r="M509" s="107"/>
      <c r="N509" s="106"/>
      <c r="O509" s="12"/>
      <c r="P509" s="13"/>
      <c r="Q509" s="12"/>
      <c r="R509" s="106"/>
      <c r="S509" s="107"/>
      <c r="T509" s="106"/>
      <c r="U509" s="33"/>
      <c r="V509" s="34"/>
      <c r="W509" s="33"/>
      <c r="X509" s="14"/>
      <c r="Y509" s="10"/>
      <c r="Z509" s="10"/>
      <c r="AA509" s="37">
        <f>SUM(I509*J509)+(L509*M509)+(O509*P509)+(R509*S509)+(U509*V509)+(X509*Y509)</f>
        <v>0</v>
      </c>
      <c r="AB509" s="17" t="e">
        <f>AVERAGE(K509,N509,Q509,T509,W509,Z509)</f>
        <v>#DIV/0!</v>
      </c>
    </row>
    <row r="510" spans="2:28" hidden="1" x14ac:dyDescent="0.2">
      <c r="B510" s="10" t="s">
        <v>60</v>
      </c>
      <c r="C510" s="98"/>
      <c r="D510" s="86"/>
      <c r="E510" s="86"/>
      <c r="F510" s="86"/>
      <c r="G510" s="86"/>
      <c r="H510" s="10"/>
      <c r="I510" s="12"/>
      <c r="J510" s="13"/>
      <c r="K510" s="12"/>
      <c r="L510" s="106"/>
      <c r="M510" s="107"/>
      <c r="N510" s="106"/>
      <c r="O510" s="12"/>
      <c r="P510" s="13"/>
      <c r="Q510" s="12"/>
      <c r="R510" s="106"/>
      <c r="S510" s="107"/>
      <c r="T510" s="106"/>
      <c r="U510" s="33"/>
      <c r="V510" s="33"/>
      <c r="W510" s="33"/>
      <c r="X510" s="14"/>
      <c r="Y510" s="10"/>
      <c r="Z510" s="10"/>
      <c r="AA510" s="38">
        <f t="shared" ref="AA510:AA516" si="84">SUM(I510*J510)+(L510*M510)+(O510*P510)+(R510*S510)+(U510*V510)+(X510*Y510)</f>
        <v>0</v>
      </c>
      <c r="AB510" s="17" t="e">
        <f>AVERAGE(K510,N510,Q510,T510,W510,Z510)</f>
        <v>#DIV/0!</v>
      </c>
    </row>
    <row r="511" spans="2:28" hidden="1" x14ac:dyDescent="0.2">
      <c r="B511" s="10" t="s">
        <v>61</v>
      </c>
      <c r="C511" s="98"/>
      <c r="D511" s="86"/>
      <c r="E511" s="86"/>
      <c r="F511" s="86"/>
      <c r="G511" s="86"/>
      <c r="H511" s="10"/>
      <c r="I511" s="12"/>
      <c r="J511" s="13"/>
      <c r="K511" s="12"/>
      <c r="L511" s="106"/>
      <c r="M511" s="107"/>
      <c r="N511" s="106"/>
      <c r="O511" s="12"/>
      <c r="P511" s="13"/>
      <c r="Q511" s="12"/>
      <c r="R511" s="106"/>
      <c r="S511" s="107"/>
      <c r="T511" s="106"/>
      <c r="U511" s="33"/>
      <c r="V511" s="33"/>
      <c r="W511" s="33"/>
      <c r="X511" s="14"/>
      <c r="Y511" s="10"/>
      <c r="Z511" s="10"/>
      <c r="AA511" s="38">
        <f t="shared" si="84"/>
        <v>0</v>
      </c>
      <c r="AB511" s="17" t="e">
        <f t="shared" ref="AB511:AB516" si="85">AVERAGE(K511,N511,Q511,T511,W511,Z511)</f>
        <v>#DIV/0!</v>
      </c>
    </row>
    <row r="512" spans="2:28" hidden="1" x14ac:dyDescent="0.2">
      <c r="B512" s="10" t="s">
        <v>62</v>
      </c>
      <c r="C512" s="99"/>
      <c r="D512" s="87"/>
      <c r="E512" s="87"/>
      <c r="F512" s="87"/>
      <c r="G512" s="87"/>
      <c r="H512" s="11"/>
      <c r="I512" s="12"/>
      <c r="J512" s="13"/>
      <c r="K512" s="12"/>
      <c r="L512" s="106"/>
      <c r="M512" s="107"/>
      <c r="N512" s="106"/>
      <c r="O512" s="12"/>
      <c r="P512" s="13"/>
      <c r="Q512" s="12"/>
      <c r="R512" s="106"/>
      <c r="S512" s="107"/>
      <c r="T512" s="106"/>
      <c r="U512" s="35"/>
      <c r="V512" s="35"/>
      <c r="W512" s="35"/>
      <c r="X512" s="20"/>
      <c r="Y512" s="11"/>
      <c r="Z512" s="11"/>
      <c r="AA512" s="38">
        <f t="shared" si="84"/>
        <v>0</v>
      </c>
      <c r="AB512" s="17" t="e">
        <f t="shared" si="85"/>
        <v>#DIV/0!</v>
      </c>
    </row>
    <row r="513" spans="2:28" hidden="1" x14ac:dyDescent="0.2">
      <c r="B513" s="10" t="s">
        <v>63</v>
      </c>
      <c r="C513" s="11"/>
      <c r="D513" s="88"/>
      <c r="E513" s="88"/>
      <c r="F513" s="88"/>
      <c r="G513" s="88"/>
      <c r="H513" s="11"/>
      <c r="I513" s="12"/>
      <c r="J513" s="13"/>
      <c r="K513" s="12"/>
      <c r="L513" s="106"/>
      <c r="M513" s="107"/>
      <c r="N513" s="106"/>
      <c r="O513" s="12"/>
      <c r="P513" s="13"/>
      <c r="Q513" s="12"/>
      <c r="R513" s="106"/>
      <c r="S513" s="107"/>
      <c r="T513" s="106"/>
      <c r="U513" s="35"/>
      <c r="V513" s="35"/>
      <c r="W513" s="35"/>
      <c r="X513" s="20"/>
      <c r="Y513" s="11"/>
      <c r="Z513" s="11"/>
      <c r="AA513" s="38">
        <f t="shared" si="84"/>
        <v>0</v>
      </c>
      <c r="AB513" s="17" t="e">
        <f t="shared" si="85"/>
        <v>#DIV/0!</v>
      </c>
    </row>
    <row r="514" spans="2:28" hidden="1" x14ac:dyDescent="0.2">
      <c r="B514" s="10" t="s">
        <v>64</v>
      </c>
      <c r="C514" s="11"/>
      <c r="D514" s="11"/>
      <c r="E514" s="11"/>
      <c r="F514" s="11"/>
      <c r="G514" s="11"/>
      <c r="H514" s="11"/>
      <c r="I514" s="12"/>
      <c r="J514" s="13"/>
      <c r="K514" s="12"/>
      <c r="L514" s="106"/>
      <c r="M514" s="107"/>
      <c r="N514" s="106"/>
      <c r="O514" s="12"/>
      <c r="P514" s="13"/>
      <c r="Q514" s="12"/>
      <c r="R514" s="106"/>
      <c r="S514" s="107"/>
      <c r="T514" s="106"/>
      <c r="U514" s="35"/>
      <c r="V514" s="35"/>
      <c r="W514" s="35"/>
      <c r="X514" s="20"/>
      <c r="Y514" s="11"/>
      <c r="Z514" s="11"/>
      <c r="AA514" s="38">
        <f t="shared" si="84"/>
        <v>0</v>
      </c>
      <c r="AB514" s="17" t="e">
        <f t="shared" si="85"/>
        <v>#DIV/0!</v>
      </c>
    </row>
    <row r="515" spans="2:28" hidden="1" x14ac:dyDescent="0.2">
      <c r="B515" s="10" t="s">
        <v>137</v>
      </c>
      <c r="C515" s="11"/>
      <c r="D515" s="11"/>
      <c r="E515" s="11"/>
      <c r="F515" s="11"/>
      <c r="G515" s="11"/>
      <c r="H515" s="11"/>
      <c r="I515" s="12"/>
      <c r="J515" s="13"/>
      <c r="K515" s="12"/>
      <c r="L515" s="106"/>
      <c r="M515" s="107"/>
      <c r="N515" s="106"/>
      <c r="O515" s="12"/>
      <c r="P515" s="13"/>
      <c r="Q515" s="12"/>
      <c r="R515" s="106"/>
      <c r="S515" s="107"/>
      <c r="T515" s="106"/>
      <c r="U515" s="35"/>
      <c r="V515" s="35"/>
      <c r="W515" s="35"/>
      <c r="X515" s="20"/>
      <c r="Y515" s="11"/>
      <c r="Z515" s="11"/>
      <c r="AA515" s="38">
        <f t="shared" si="84"/>
        <v>0</v>
      </c>
      <c r="AB515" s="17" t="e">
        <f t="shared" si="85"/>
        <v>#DIV/0!</v>
      </c>
    </row>
    <row r="516" spans="2:28" hidden="1" x14ac:dyDescent="0.2">
      <c r="B516" s="10" t="s">
        <v>139</v>
      </c>
      <c r="C516" s="11"/>
      <c r="D516" s="11"/>
      <c r="E516" s="11"/>
      <c r="F516" s="11"/>
      <c r="G516" s="11"/>
      <c r="H516" s="11"/>
      <c r="I516" s="12"/>
      <c r="J516" s="13"/>
      <c r="K516" s="12"/>
      <c r="L516" s="106"/>
      <c r="M516" s="107"/>
      <c r="N516" s="106"/>
      <c r="O516" s="12"/>
      <c r="P516" s="13"/>
      <c r="Q516" s="12"/>
      <c r="R516" s="106"/>
      <c r="S516" s="107"/>
      <c r="T516" s="106"/>
      <c r="U516" s="35"/>
      <c r="V516" s="35"/>
      <c r="W516" s="35"/>
      <c r="X516" s="20"/>
      <c r="Y516" s="11"/>
      <c r="Z516" s="11"/>
      <c r="AA516" s="39">
        <f t="shared" si="84"/>
        <v>0</v>
      </c>
      <c r="AB516" s="17" t="e">
        <f t="shared" si="85"/>
        <v>#DIV/0!</v>
      </c>
    </row>
    <row r="517" spans="2:28" hidden="1" x14ac:dyDescent="0.2">
      <c r="B517" s="202" t="str">
        <f>'Exercise Selection'!C18</f>
        <v>(B2) Six</v>
      </c>
      <c r="C517" s="203"/>
      <c r="D517" s="203"/>
      <c r="E517" s="203"/>
      <c r="F517" s="203"/>
      <c r="G517" s="203"/>
      <c r="H517" s="203"/>
      <c r="I517" s="202" t="s">
        <v>119</v>
      </c>
      <c r="J517" s="203"/>
      <c r="K517" s="203"/>
      <c r="L517" s="202" t="s">
        <v>120</v>
      </c>
      <c r="M517" s="203"/>
      <c r="N517" s="203"/>
      <c r="O517" s="202" t="s">
        <v>121</v>
      </c>
      <c r="P517" s="203"/>
      <c r="Q517" s="203"/>
      <c r="R517" s="202" t="s">
        <v>122</v>
      </c>
      <c r="S517" s="203"/>
      <c r="T517" s="203"/>
      <c r="U517" s="202" t="s">
        <v>123</v>
      </c>
      <c r="V517" s="203"/>
      <c r="W517" s="203"/>
      <c r="X517" s="202" t="s">
        <v>124</v>
      </c>
      <c r="Y517" s="203"/>
      <c r="Z517" s="203"/>
      <c r="AA517" s="202" t="s">
        <v>126</v>
      </c>
      <c r="AB517" s="212" t="s">
        <v>127</v>
      </c>
    </row>
    <row r="518" spans="2:28" hidden="1" x14ac:dyDescent="0.2">
      <c r="B518" s="202"/>
      <c r="C518" s="203"/>
      <c r="D518" s="203"/>
      <c r="E518" s="203"/>
      <c r="F518" s="203"/>
      <c r="G518" s="203"/>
      <c r="H518" s="203"/>
      <c r="I518" s="148"/>
      <c r="J518" s="148"/>
      <c r="K518" s="148"/>
      <c r="L518" s="148"/>
      <c r="M518" s="148"/>
      <c r="N518" s="148"/>
      <c r="O518" s="148"/>
      <c r="P518" s="148"/>
      <c r="Q518" s="148"/>
      <c r="R518" s="148"/>
      <c r="S518" s="148"/>
      <c r="T518" s="148"/>
      <c r="U518" s="148"/>
      <c r="V518" s="148"/>
      <c r="W518" s="148"/>
      <c r="X518" s="148"/>
      <c r="Y518" s="148"/>
      <c r="Z518" s="148"/>
      <c r="AA518" s="203"/>
      <c r="AB518" s="213"/>
    </row>
    <row r="519" spans="2:28" hidden="1" x14ac:dyDescent="0.2">
      <c r="B519" s="80" t="s">
        <v>128</v>
      </c>
      <c r="C519" s="80" t="s">
        <v>129</v>
      </c>
      <c r="D519" s="80" t="s">
        <v>38</v>
      </c>
      <c r="E519" s="80" t="s">
        <v>130</v>
      </c>
      <c r="F519" s="80" t="s">
        <v>131</v>
      </c>
      <c r="G519" s="81" t="s">
        <v>132</v>
      </c>
      <c r="H519" s="79" t="s">
        <v>133</v>
      </c>
      <c r="I519" s="83" t="s">
        <v>134</v>
      </c>
      <c r="J519" s="83" t="s">
        <v>135</v>
      </c>
      <c r="K519" s="83" t="s">
        <v>133</v>
      </c>
      <c r="L519" s="83" t="s">
        <v>134</v>
      </c>
      <c r="M519" s="83" t="s">
        <v>135</v>
      </c>
      <c r="N519" s="83" t="s">
        <v>133</v>
      </c>
      <c r="O519" s="83" t="s">
        <v>134</v>
      </c>
      <c r="P519" s="83" t="s">
        <v>135</v>
      </c>
      <c r="Q519" s="83" t="s">
        <v>133</v>
      </c>
      <c r="R519" s="83" t="s">
        <v>134</v>
      </c>
      <c r="S519" s="83" t="s">
        <v>135</v>
      </c>
      <c r="T519" s="83" t="s">
        <v>133</v>
      </c>
      <c r="U519" s="83" t="s">
        <v>134</v>
      </c>
      <c r="V519" s="83" t="s">
        <v>135</v>
      </c>
      <c r="W519" s="83" t="s">
        <v>133</v>
      </c>
      <c r="X519" s="83" t="s">
        <v>134</v>
      </c>
      <c r="Y519" s="83" t="s">
        <v>135</v>
      </c>
      <c r="Z519" s="84" t="s">
        <v>133</v>
      </c>
      <c r="AA519" s="203"/>
      <c r="AB519" s="213"/>
    </row>
    <row r="520" spans="2:28" hidden="1" x14ac:dyDescent="0.2">
      <c r="B520" s="10" t="s">
        <v>59</v>
      </c>
      <c r="C520" s="97"/>
      <c r="D520" s="92"/>
      <c r="E520" s="92"/>
      <c r="F520" s="92"/>
      <c r="G520" s="92"/>
      <c r="H520" s="10"/>
      <c r="I520" s="12"/>
      <c r="J520" s="13"/>
      <c r="K520" s="12"/>
      <c r="L520" s="106"/>
      <c r="M520" s="107"/>
      <c r="N520" s="106"/>
      <c r="O520" s="12"/>
      <c r="P520" s="13"/>
      <c r="Q520" s="12"/>
      <c r="R520" s="106"/>
      <c r="S520" s="107"/>
      <c r="T520" s="106"/>
      <c r="U520" s="33"/>
      <c r="V520" s="34"/>
      <c r="W520" s="33"/>
      <c r="X520" s="14"/>
      <c r="Y520" s="10"/>
      <c r="Z520" s="10"/>
      <c r="AA520" s="37">
        <f t="shared" ref="AA520:AA527" si="86">SUM(I520*J520)+(L520*M520)+(O520*P520)+(R520*S520)+(U520*V520)+(X520*Y520)</f>
        <v>0</v>
      </c>
      <c r="AB520" s="17" t="e">
        <f t="shared" ref="AB520:AB527" si="87">AVERAGE(K520,N520,Q520,T520,W520,Z520)</f>
        <v>#DIV/0!</v>
      </c>
    </row>
    <row r="521" spans="2:28" hidden="1" x14ac:dyDescent="0.2">
      <c r="B521" s="10" t="s">
        <v>60</v>
      </c>
      <c r="C521" s="98"/>
      <c r="D521" s="86"/>
      <c r="E521" s="86"/>
      <c r="F521" s="86"/>
      <c r="G521" s="86"/>
      <c r="H521" s="10"/>
      <c r="I521" s="12"/>
      <c r="J521" s="13"/>
      <c r="K521" s="12"/>
      <c r="L521" s="106"/>
      <c r="M521" s="107"/>
      <c r="N521" s="106"/>
      <c r="O521" s="12"/>
      <c r="P521" s="13"/>
      <c r="Q521" s="12"/>
      <c r="R521" s="106"/>
      <c r="S521" s="107"/>
      <c r="T521" s="106"/>
      <c r="U521" s="33"/>
      <c r="V521" s="33"/>
      <c r="W521" s="33"/>
      <c r="X521" s="14"/>
      <c r="Y521" s="10"/>
      <c r="Z521" s="10"/>
      <c r="AA521" s="38">
        <f t="shared" si="86"/>
        <v>0</v>
      </c>
      <c r="AB521" s="17" t="e">
        <f t="shared" si="87"/>
        <v>#DIV/0!</v>
      </c>
    </row>
    <row r="522" spans="2:28" hidden="1" x14ac:dyDescent="0.2">
      <c r="B522" s="10" t="s">
        <v>61</v>
      </c>
      <c r="C522" s="98"/>
      <c r="D522" s="86"/>
      <c r="E522" s="86"/>
      <c r="F522" s="86"/>
      <c r="G522" s="86"/>
      <c r="H522" s="10"/>
      <c r="I522" s="12"/>
      <c r="J522" s="13"/>
      <c r="K522" s="12"/>
      <c r="L522" s="106"/>
      <c r="M522" s="107"/>
      <c r="N522" s="106"/>
      <c r="O522" s="12"/>
      <c r="P522" s="13"/>
      <c r="Q522" s="12"/>
      <c r="R522" s="106"/>
      <c r="S522" s="107"/>
      <c r="T522" s="106"/>
      <c r="U522" s="33"/>
      <c r="V522" s="33"/>
      <c r="W522" s="33"/>
      <c r="X522" s="14"/>
      <c r="Y522" s="10"/>
      <c r="Z522" s="10"/>
      <c r="AA522" s="38">
        <f t="shared" si="86"/>
        <v>0</v>
      </c>
      <c r="AB522" s="17" t="e">
        <f t="shared" si="87"/>
        <v>#DIV/0!</v>
      </c>
    </row>
    <row r="523" spans="2:28" hidden="1" x14ac:dyDescent="0.2">
      <c r="B523" s="10" t="s">
        <v>62</v>
      </c>
      <c r="C523" s="99"/>
      <c r="D523" s="87"/>
      <c r="E523" s="87"/>
      <c r="F523" s="87"/>
      <c r="G523" s="87"/>
      <c r="H523" s="11"/>
      <c r="I523" s="12"/>
      <c r="J523" s="13"/>
      <c r="K523" s="12"/>
      <c r="L523" s="106"/>
      <c r="M523" s="107"/>
      <c r="N523" s="106"/>
      <c r="O523" s="12"/>
      <c r="P523" s="13"/>
      <c r="Q523" s="12"/>
      <c r="R523" s="106"/>
      <c r="S523" s="107"/>
      <c r="T523" s="106"/>
      <c r="U523" s="35"/>
      <c r="V523" s="35"/>
      <c r="W523" s="35"/>
      <c r="X523" s="20"/>
      <c r="Y523" s="11"/>
      <c r="Z523" s="11"/>
      <c r="AA523" s="38">
        <f t="shared" si="86"/>
        <v>0</v>
      </c>
      <c r="AB523" s="17" t="e">
        <f t="shared" si="87"/>
        <v>#DIV/0!</v>
      </c>
    </row>
    <row r="524" spans="2:28" hidden="1" x14ac:dyDescent="0.2">
      <c r="B524" s="10" t="s">
        <v>63</v>
      </c>
      <c r="C524" s="11"/>
      <c r="D524" s="88"/>
      <c r="E524" s="88"/>
      <c r="F524" s="88"/>
      <c r="G524" s="88"/>
      <c r="H524" s="11"/>
      <c r="I524" s="12"/>
      <c r="J524" s="13"/>
      <c r="K524" s="12"/>
      <c r="L524" s="106"/>
      <c r="M524" s="107"/>
      <c r="N524" s="106"/>
      <c r="O524" s="12"/>
      <c r="P524" s="13"/>
      <c r="Q524" s="12"/>
      <c r="R524" s="106"/>
      <c r="S524" s="107"/>
      <c r="T524" s="106"/>
      <c r="U524" s="35"/>
      <c r="V524" s="35"/>
      <c r="W524" s="35"/>
      <c r="X524" s="20"/>
      <c r="Y524" s="11"/>
      <c r="Z524" s="11"/>
      <c r="AA524" s="38">
        <f t="shared" si="86"/>
        <v>0</v>
      </c>
      <c r="AB524" s="17" t="e">
        <f t="shared" si="87"/>
        <v>#DIV/0!</v>
      </c>
    </row>
    <row r="525" spans="2:28" hidden="1" x14ac:dyDescent="0.2">
      <c r="B525" s="10" t="s">
        <v>64</v>
      </c>
      <c r="C525" s="11"/>
      <c r="D525" s="11"/>
      <c r="E525" s="11"/>
      <c r="F525" s="11"/>
      <c r="G525" s="11"/>
      <c r="H525" s="11"/>
      <c r="I525" s="12"/>
      <c r="J525" s="13"/>
      <c r="K525" s="12"/>
      <c r="L525" s="106"/>
      <c r="M525" s="107"/>
      <c r="N525" s="106"/>
      <c r="O525" s="12"/>
      <c r="P525" s="13"/>
      <c r="Q525" s="12"/>
      <c r="R525" s="106"/>
      <c r="S525" s="107"/>
      <c r="T525" s="106"/>
      <c r="U525" s="35"/>
      <c r="V525" s="35"/>
      <c r="W525" s="35"/>
      <c r="X525" s="20"/>
      <c r="Y525" s="11"/>
      <c r="Z525" s="11"/>
      <c r="AA525" s="38">
        <f t="shared" si="86"/>
        <v>0</v>
      </c>
      <c r="AB525" s="17" t="e">
        <f t="shared" si="87"/>
        <v>#DIV/0!</v>
      </c>
    </row>
    <row r="526" spans="2:28" hidden="1" x14ac:dyDescent="0.2">
      <c r="B526" s="10" t="s">
        <v>137</v>
      </c>
      <c r="C526" s="11"/>
      <c r="D526" s="11"/>
      <c r="E526" s="11"/>
      <c r="F526" s="11"/>
      <c r="G526" s="11"/>
      <c r="H526" s="11"/>
      <c r="I526" s="12"/>
      <c r="J526" s="13"/>
      <c r="K526" s="12"/>
      <c r="L526" s="106"/>
      <c r="M526" s="107"/>
      <c r="N526" s="106"/>
      <c r="O526" s="12"/>
      <c r="P526" s="13"/>
      <c r="Q526" s="12"/>
      <c r="R526" s="106"/>
      <c r="S526" s="107"/>
      <c r="T526" s="106"/>
      <c r="U526" s="35"/>
      <c r="V526" s="35"/>
      <c r="W526" s="35"/>
      <c r="X526" s="20"/>
      <c r="Y526" s="11"/>
      <c r="Z526" s="11"/>
      <c r="AA526" s="38">
        <f t="shared" si="86"/>
        <v>0</v>
      </c>
      <c r="AB526" s="17" t="e">
        <f t="shared" si="87"/>
        <v>#DIV/0!</v>
      </c>
    </row>
    <row r="527" spans="2:28" hidden="1" x14ac:dyDescent="0.2">
      <c r="B527" s="10" t="s">
        <v>139</v>
      </c>
      <c r="C527" s="11"/>
      <c r="D527" s="11"/>
      <c r="E527" s="11"/>
      <c r="F527" s="11"/>
      <c r="G527" s="11"/>
      <c r="H527" s="11"/>
      <c r="I527" s="12"/>
      <c r="J527" s="13"/>
      <c r="K527" s="12"/>
      <c r="L527" s="106"/>
      <c r="M527" s="107"/>
      <c r="N527" s="106"/>
      <c r="O527" s="12"/>
      <c r="P527" s="13"/>
      <c r="Q527" s="12"/>
      <c r="R527" s="106"/>
      <c r="S527" s="107"/>
      <c r="T527" s="106"/>
      <c r="U527" s="35"/>
      <c r="V527" s="35"/>
      <c r="W527" s="35"/>
      <c r="X527" s="20"/>
      <c r="Y527" s="11"/>
      <c r="Z527" s="11"/>
      <c r="AA527" s="39">
        <f t="shared" si="86"/>
        <v>0</v>
      </c>
      <c r="AB527" s="17" t="e">
        <f t="shared" si="87"/>
        <v>#DIV/0!</v>
      </c>
    </row>
    <row r="528" spans="2:28" hidden="1" x14ac:dyDescent="0.2">
      <c r="B528" s="202" t="str">
        <f>'Exercise Selection'!C19</f>
        <v>(C1) Six</v>
      </c>
      <c r="C528" s="203"/>
      <c r="D528" s="203"/>
      <c r="E528" s="203"/>
      <c r="F528" s="203"/>
      <c r="G528" s="203"/>
      <c r="H528" s="203"/>
      <c r="I528" s="202" t="s">
        <v>119</v>
      </c>
      <c r="J528" s="203"/>
      <c r="K528" s="203"/>
      <c r="L528" s="202" t="s">
        <v>120</v>
      </c>
      <c r="M528" s="203"/>
      <c r="N528" s="203"/>
      <c r="O528" s="202" t="s">
        <v>121</v>
      </c>
      <c r="P528" s="203"/>
      <c r="Q528" s="203"/>
      <c r="R528" s="202" t="s">
        <v>122</v>
      </c>
      <c r="S528" s="203"/>
      <c r="T528" s="203"/>
      <c r="U528" s="202" t="s">
        <v>123</v>
      </c>
      <c r="V528" s="203"/>
      <c r="W528" s="203"/>
      <c r="X528" s="202" t="s">
        <v>124</v>
      </c>
      <c r="Y528" s="203"/>
      <c r="Z528" s="203"/>
      <c r="AA528" s="202" t="s">
        <v>126</v>
      </c>
      <c r="AB528" s="212" t="s">
        <v>127</v>
      </c>
    </row>
    <row r="529" spans="2:28" hidden="1" x14ac:dyDescent="0.2">
      <c r="B529" s="202"/>
      <c r="C529" s="203"/>
      <c r="D529" s="203"/>
      <c r="E529" s="203"/>
      <c r="F529" s="203"/>
      <c r="G529" s="203"/>
      <c r="H529" s="203"/>
      <c r="I529" s="148"/>
      <c r="J529" s="148"/>
      <c r="K529" s="148"/>
      <c r="L529" s="148"/>
      <c r="M529" s="148"/>
      <c r="N529" s="148"/>
      <c r="O529" s="148"/>
      <c r="P529" s="148"/>
      <c r="Q529" s="148"/>
      <c r="R529" s="148"/>
      <c r="S529" s="148"/>
      <c r="T529" s="148"/>
      <c r="U529" s="148"/>
      <c r="V529" s="148"/>
      <c r="W529" s="148"/>
      <c r="X529" s="148"/>
      <c r="Y529" s="148"/>
      <c r="Z529" s="148"/>
      <c r="AA529" s="203"/>
      <c r="AB529" s="213"/>
    </row>
    <row r="530" spans="2:28" hidden="1" x14ac:dyDescent="0.2">
      <c r="B530" s="80" t="s">
        <v>128</v>
      </c>
      <c r="C530" s="80" t="s">
        <v>129</v>
      </c>
      <c r="D530" s="80" t="s">
        <v>38</v>
      </c>
      <c r="E530" s="80" t="s">
        <v>130</v>
      </c>
      <c r="F530" s="80" t="s">
        <v>131</v>
      </c>
      <c r="G530" s="81" t="s">
        <v>132</v>
      </c>
      <c r="H530" s="79" t="s">
        <v>133</v>
      </c>
      <c r="I530" s="83" t="s">
        <v>134</v>
      </c>
      <c r="J530" s="83" t="s">
        <v>135</v>
      </c>
      <c r="K530" s="83" t="s">
        <v>133</v>
      </c>
      <c r="L530" s="83" t="s">
        <v>134</v>
      </c>
      <c r="M530" s="83" t="s">
        <v>135</v>
      </c>
      <c r="N530" s="83" t="s">
        <v>133</v>
      </c>
      <c r="O530" s="83" t="s">
        <v>134</v>
      </c>
      <c r="P530" s="83" t="s">
        <v>135</v>
      </c>
      <c r="Q530" s="83" t="s">
        <v>133</v>
      </c>
      <c r="R530" s="83" t="s">
        <v>134</v>
      </c>
      <c r="S530" s="83" t="s">
        <v>135</v>
      </c>
      <c r="T530" s="83" t="s">
        <v>133</v>
      </c>
      <c r="U530" s="83" t="s">
        <v>134</v>
      </c>
      <c r="V530" s="83" t="s">
        <v>135</v>
      </c>
      <c r="W530" s="83" t="s">
        <v>133</v>
      </c>
      <c r="X530" s="83" t="s">
        <v>134</v>
      </c>
      <c r="Y530" s="83" t="s">
        <v>135</v>
      </c>
      <c r="Z530" s="84" t="s">
        <v>133</v>
      </c>
      <c r="AA530" s="203"/>
      <c r="AB530" s="213"/>
    </row>
    <row r="531" spans="2:28" hidden="1" x14ac:dyDescent="0.2">
      <c r="B531" s="10" t="s">
        <v>59</v>
      </c>
      <c r="C531" s="97"/>
      <c r="D531" s="92"/>
      <c r="E531" s="92"/>
      <c r="F531" s="92"/>
      <c r="G531" s="92"/>
      <c r="H531" s="10"/>
      <c r="I531" s="12"/>
      <c r="J531" s="13"/>
      <c r="K531" s="12"/>
      <c r="L531" s="106"/>
      <c r="M531" s="107"/>
      <c r="N531" s="106"/>
      <c r="O531" s="12"/>
      <c r="P531" s="13"/>
      <c r="Q531" s="12"/>
      <c r="R531" s="106"/>
      <c r="S531" s="107"/>
      <c r="T531" s="106"/>
      <c r="U531" s="33"/>
      <c r="V531" s="34"/>
      <c r="W531" s="33"/>
      <c r="X531" s="14"/>
      <c r="Y531" s="10"/>
      <c r="Z531" s="10"/>
      <c r="AA531" s="37">
        <f t="shared" ref="AA531:AA538" si="88">SUM(I531*J531)+(L531*M531)+(O531*P531)+(R531*S531)+(U531*V531)+(X531*Y531)</f>
        <v>0</v>
      </c>
      <c r="AB531" s="17" t="e">
        <f t="shared" ref="AB531:AB538" si="89">AVERAGE(K531,N531,Q531,T531,W531,Z531)</f>
        <v>#DIV/0!</v>
      </c>
    </row>
    <row r="532" spans="2:28" hidden="1" x14ac:dyDescent="0.2">
      <c r="B532" s="10" t="s">
        <v>60</v>
      </c>
      <c r="C532" s="98"/>
      <c r="D532" s="86"/>
      <c r="E532" s="86"/>
      <c r="F532" s="86"/>
      <c r="G532" s="86"/>
      <c r="H532" s="10"/>
      <c r="I532" s="12"/>
      <c r="J532" s="13"/>
      <c r="K532" s="12"/>
      <c r="L532" s="106"/>
      <c r="M532" s="107"/>
      <c r="N532" s="106"/>
      <c r="O532" s="12"/>
      <c r="P532" s="13"/>
      <c r="Q532" s="12"/>
      <c r="R532" s="106"/>
      <c r="S532" s="107"/>
      <c r="T532" s="106"/>
      <c r="U532" s="33"/>
      <c r="V532" s="33"/>
      <c r="W532" s="33"/>
      <c r="X532" s="14"/>
      <c r="Y532" s="10"/>
      <c r="Z532" s="10"/>
      <c r="AA532" s="38">
        <f t="shared" si="88"/>
        <v>0</v>
      </c>
      <c r="AB532" s="17" t="e">
        <f t="shared" si="89"/>
        <v>#DIV/0!</v>
      </c>
    </row>
    <row r="533" spans="2:28" hidden="1" x14ac:dyDescent="0.2">
      <c r="B533" s="10" t="s">
        <v>61</v>
      </c>
      <c r="C533" s="98"/>
      <c r="D533" s="86"/>
      <c r="E533" s="86"/>
      <c r="F533" s="86"/>
      <c r="G533" s="86"/>
      <c r="H533" s="10"/>
      <c r="I533" s="12"/>
      <c r="J533" s="13"/>
      <c r="K533" s="12"/>
      <c r="L533" s="106"/>
      <c r="M533" s="107"/>
      <c r="N533" s="106"/>
      <c r="O533" s="12"/>
      <c r="P533" s="13"/>
      <c r="Q533" s="12"/>
      <c r="R533" s="106"/>
      <c r="S533" s="107"/>
      <c r="T533" s="106"/>
      <c r="U533" s="33"/>
      <c r="V533" s="33"/>
      <c r="W533" s="33"/>
      <c r="X533" s="14"/>
      <c r="Y533" s="10"/>
      <c r="Z533" s="10"/>
      <c r="AA533" s="38">
        <f t="shared" si="88"/>
        <v>0</v>
      </c>
      <c r="AB533" s="17" t="e">
        <f t="shared" si="89"/>
        <v>#DIV/0!</v>
      </c>
    </row>
    <row r="534" spans="2:28" hidden="1" x14ac:dyDescent="0.2">
      <c r="B534" s="10" t="s">
        <v>62</v>
      </c>
      <c r="C534" s="99"/>
      <c r="D534" s="87"/>
      <c r="E534" s="87"/>
      <c r="F534" s="87"/>
      <c r="G534" s="87"/>
      <c r="H534" s="11"/>
      <c r="I534" s="12"/>
      <c r="J534" s="13"/>
      <c r="K534" s="12"/>
      <c r="L534" s="106"/>
      <c r="M534" s="107"/>
      <c r="N534" s="106"/>
      <c r="O534" s="12"/>
      <c r="P534" s="13"/>
      <c r="Q534" s="12"/>
      <c r="R534" s="106"/>
      <c r="S534" s="107"/>
      <c r="T534" s="106"/>
      <c r="U534" s="35"/>
      <c r="V534" s="35"/>
      <c r="W534" s="35"/>
      <c r="X534" s="20"/>
      <c r="Y534" s="11"/>
      <c r="Z534" s="11"/>
      <c r="AA534" s="38">
        <f t="shared" si="88"/>
        <v>0</v>
      </c>
      <c r="AB534" s="17" t="e">
        <f t="shared" si="89"/>
        <v>#DIV/0!</v>
      </c>
    </row>
    <row r="535" spans="2:28" hidden="1" x14ac:dyDescent="0.2">
      <c r="B535" s="10" t="s">
        <v>63</v>
      </c>
      <c r="C535" s="11"/>
      <c r="D535" s="88"/>
      <c r="E535" s="88"/>
      <c r="F535" s="88"/>
      <c r="G535" s="88"/>
      <c r="H535" s="11"/>
      <c r="I535" s="12"/>
      <c r="J535" s="13"/>
      <c r="K535" s="12"/>
      <c r="L535" s="106"/>
      <c r="M535" s="107"/>
      <c r="N535" s="106"/>
      <c r="O535" s="12"/>
      <c r="P535" s="13"/>
      <c r="Q535" s="12"/>
      <c r="R535" s="106"/>
      <c r="S535" s="107"/>
      <c r="T535" s="106"/>
      <c r="U535" s="35"/>
      <c r="V535" s="35"/>
      <c r="W535" s="35"/>
      <c r="X535" s="20"/>
      <c r="Y535" s="11"/>
      <c r="Z535" s="11"/>
      <c r="AA535" s="38">
        <f t="shared" si="88"/>
        <v>0</v>
      </c>
      <c r="AB535" s="17" t="e">
        <f t="shared" si="89"/>
        <v>#DIV/0!</v>
      </c>
    </row>
    <row r="536" spans="2:28" hidden="1" x14ac:dyDescent="0.2">
      <c r="B536" s="10" t="s">
        <v>64</v>
      </c>
      <c r="C536" s="11"/>
      <c r="D536" s="11"/>
      <c r="E536" s="11"/>
      <c r="F536" s="11"/>
      <c r="G536" s="11"/>
      <c r="H536" s="11"/>
      <c r="I536" s="12"/>
      <c r="J536" s="13"/>
      <c r="K536" s="12"/>
      <c r="L536" s="106"/>
      <c r="M536" s="107"/>
      <c r="N536" s="106"/>
      <c r="O536" s="12"/>
      <c r="P536" s="13"/>
      <c r="Q536" s="12"/>
      <c r="R536" s="106"/>
      <c r="S536" s="107"/>
      <c r="T536" s="106"/>
      <c r="U536" s="35"/>
      <c r="V536" s="35"/>
      <c r="W536" s="35"/>
      <c r="X536" s="20"/>
      <c r="Y536" s="11"/>
      <c r="Z536" s="11"/>
      <c r="AA536" s="38">
        <f t="shared" si="88"/>
        <v>0</v>
      </c>
      <c r="AB536" s="17" t="e">
        <f t="shared" si="89"/>
        <v>#DIV/0!</v>
      </c>
    </row>
    <row r="537" spans="2:28" hidden="1" x14ac:dyDescent="0.2">
      <c r="B537" s="10" t="s">
        <v>137</v>
      </c>
      <c r="C537" s="11"/>
      <c r="D537" s="11"/>
      <c r="E537" s="11"/>
      <c r="F537" s="11"/>
      <c r="G537" s="11"/>
      <c r="H537" s="11"/>
      <c r="I537" s="12"/>
      <c r="J537" s="13"/>
      <c r="K537" s="12"/>
      <c r="L537" s="106"/>
      <c r="M537" s="107"/>
      <c r="N537" s="106"/>
      <c r="O537" s="12"/>
      <c r="P537" s="13"/>
      <c r="Q537" s="12"/>
      <c r="R537" s="106"/>
      <c r="S537" s="107"/>
      <c r="T537" s="106"/>
      <c r="U537" s="35"/>
      <c r="V537" s="35"/>
      <c r="W537" s="35"/>
      <c r="X537" s="20"/>
      <c r="Y537" s="11"/>
      <c r="Z537" s="11"/>
      <c r="AA537" s="38">
        <f t="shared" si="88"/>
        <v>0</v>
      </c>
      <c r="AB537" s="17" t="e">
        <f t="shared" si="89"/>
        <v>#DIV/0!</v>
      </c>
    </row>
    <row r="538" spans="2:28" hidden="1" x14ac:dyDescent="0.2">
      <c r="B538" s="10" t="s">
        <v>139</v>
      </c>
      <c r="C538" s="11"/>
      <c r="D538" s="11"/>
      <c r="E538" s="11"/>
      <c r="F538" s="11"/>
      <c r="G538" s="11"/>
      <c r="H538" s="11"/>
      <c r="I538" s="12"/>
      <c r="J538" s="13"/>
      <c r="K538" s="12"/>
      <c r="L538" s="106"/>
      <c r="M538" s="107"/>
      <c r="N538" s="106"/>
      <c r="O538" s="12"/>
      <c r="P538" s="13"/>
      <c r="Q538" s="12"/>
      <c r="R538" s="106"/>
      <c r="S538" s="107"/>
      <c r="T538" s="106"/>
      <c r="U538" s="35"/>
      <c r="V538" s="35"/>
      <c r="W538" s="35"/>
      <c r="X538" s="20"/>
      <c r="Y538" s="11"/>
      <c r="Z538" s="11"/>
      <c r="AA538" s="39">
        <f t="shared" si="88"/>
        <v>0</v>
      </c>
      <c r="AB538" s="17" t="e">
        <f t="shared" si="89"/>
        <v>#DIV/0!</v>
      </c>
    </row>
    <row r="539" spans="2:28" hidden="1" x14ac:dyDescent="0.2">
      <c r="B539" s="202" t="str">
        <f>'Exercise Selection'!C20</f>
        <v>(C2) Six</v>
      </c>
      <c r="C539" s="203"/>
      <c r="D539" s="203"/>
      <c r="E539" s="203"/>
      <c r="F539" s="203"/>
      <c r="G539" s="203"/>
      <c r="H539" s="203"/>
      <c r="I539" s="202" t="s">
        <v>119</v>
      </c>
      <c r="J539" s="203"/>
      <c r="K539" s="203"/>
      <c r="L539" s="202" t="s">
        <v>120</v>
      </c>
      <c r="M539" s="203"/>
      <c r="N539" s="203"/>
      <c r="O539" s="202" t="s">
        <v>121</v>
      </c>
      <c r="P539" s="203"/>
      <c r="Q539" s="203"/>
      <c r="R539" s="202" t="s">
        <v>122</v>
      </c>
      <c r="S539" s="203"/>
      <c r="T539" s="203"/>
      <c r="U539" s="202" t="s">
        <v>123</v>
      </c>
      <c r="V539" s="203"/>
      <c r="W539" s="203"/>
      <c r="X539" s="202" t="s">
        <v>124</v>
      </c>
      <c r="Y539" s="203"/>
      <c r="Z539" s="203"/>
      <c r="AA539" s="202" t="s">
        <v>126</v>
      </c>
      <c r="AB539" s="212" t="s">
        <v>127</v>
      </c>
    </row>
    <row r="540" spans="2:28" hidden="1" x14ac:dyDescent="0.2">
      <c r="B540" s="202"/>
      <c r="C540" s="203"/>
      <c r="D540" s="203"/>
      <c r="E540" s="203"/>
      <c r="F540" s="203"/>
      <c r="G540" s="203"/>
      <c r="H540" s="203"/>
      <c r="I540" s="148"/>
      <c r="J540" s="148"/>
      <c r="K540" s="148"/>
      <c r="L540" s="148"/>
      <c r="M540" s="148"/>
      <c r="N540" s="148"/>
      <c r="O540" s="148"/>
      <c r="P540" s="148"/>
      <c r="Q540" s="148"/>
      <c r="R540" s="148"/>
      <c r="S540" s="148"/>
      <c r="T540" s="148"/>
      <c r="U540" s="148"/>
      <c r="V540" s="148"/>
      <c r="W540" s="148"/>
      <c r="X540" s="148"/>
      <c r="Y540" s="148"/>
      <c r="Z540" s="148"/>
      <c r="AA540" s="203"/>
      <c r="AB540" s="213"/>
    </row>
    <row r="541" spans="2:28" hidden="1" x14ac:dyDescent="0.2">
      <c r="B541" s="80" t="s">
        <v>128</v>
      </c>
      <c r="C541" s="80" t="s">
        <v>129</v>
      </c>
      <c r="D541" s="80" t="s">
        <v>38</v>
      </c>
      <c r="E541" s="80" t="s">
        <v>130</v>
      </c>
      <c r="F541" s="80" t="s">
        <v>131</v>
      </c>
      <c r="G541" s="81" t="s">
        <v>132</v>
      </c>
      <c r="H541" s="79" t="s">
        <v>133</v>
      </c>
      <c r="I541" s="83" t="s">
        <v>134</v>
      </c>
      <c r="J541" s="83" t="s">
        <v>135</v>
      </c>
      <c r="K541" s="83" t="s">
        <v>133</v>
      </c>
      <c r="L541" s="83" t="s">
        <v>134</v>
      </c>
      <c r="M541" s="83" t="s">
        <v>135</v>
      </c>
      <c r="N541" s="83" t="s">
        <v>133</v>
      </c>
      <c r="O541" s="83" t="s">
        <v>134</v>
      </c>
      <c r="P541" s="83" t="s">
        <v>135</v>
      </c>
      <c r="Q541" s="83" t="s">
        <v>133</v>
      </c>
      <c r="R541" s="83" t="s">
        <v>134</v>
      </c>
      <c r="S541" s="83" t="s">
        <v>135</v>
      </c>
      <c r="T541" s="83" t="s">
        <v>133</v>
      </c>
      <c r="U541" s="83" t="s">
        <v>134</v>
      </c>
      <c r="V541" s="83" t="s">
        <v>135</v>
      </c>
      <c r="W541" s="83" t="s">
        <v>133</v>
      </c>
      <c r="X541" s="83" t="s">
        <v>134</v>
      </c>
      <c r="Y541" s="83" t="s">
        <v>135</v>
      </c>
      <c r="Z541" s="84" t="s">
        <v>133</v>
      </c>
      <c r="AA541" s="203"/>
      <c r="AB541" s="213"/>
    </row>
    <row r="542" spans="2:28" hidden="1" x14ac:dyDescent="0.2">
      <c r="B542" s="10" t="s">
        <v>59</v>
      </c>
      <c r="C542" s="97"/>
      <c r="D542" s="92"/>
      <c r="E542" s="92"/>
      <c r="F542" s="92"/>
      <c r="G542" s="92"/>
      <c r="H542" s="10"/>
      <c r="I542" s="12"/>
      <c r="J542" s="13"/>
      <c r="K542" s="12"/>
      <c r="L542" s="106"/>
      <c r="M542" s="107"/>
      <c r="N542" s="106"/>
      <c r="O542" s="12"/>
      <c r="P542" s="13"/>
      <c r="Q542" s="12"/>
      <c r="R542" s="106"/>
      <c r="S542" s="107"/>
      <c r="T542" s="106"/>
      <c r="U542" s="33"/>
      <c r="V542" s="34"/>
      <c r="W542" s="33"/>
      <c r="X542" s="14"/>
      <c r="Y542" s="10"/>
      <c r="Z542" s="10"/>
      <c r="AA542" s="37">
        <f t="shared" ref="AA542:AA549" si="90">SUM(I542*J542)+(L542*M542)+(O542*P542)+(R542*S542)+(U542*V542)+(X542*Y542)</f>
        <v>0</v>
      </c>
      <c r="AB542" s="17" t="e">
        <f t="shared" ref="AB542:AB549" si="91">AVERAGE(K542,N542,Q542,T542,W542,Z542)</f>
        <v>#DIV/0!</v>
      </c>
    </row>
    <row r="543" spans="2:28" hidden="1" x14ac:dyDescent="0.2">
      <c r="B543" s="10" t="s">
        <v>60</v>
      </c>
      <c r="C543" s="98"/>
      <c r="D543" s="86"/>
      <c r="E543" s="86"/>
      <c r="F543" s="86"/>
      <c r="G543" s="86"/>
      <c r="H543" s="10"/>
      <c r="I543" s="12"/>
      <c r="J543" s="13"/>
      <c r="K543" s="12"/>
      <c r="L543" s="106"/>
      <c r="M543" s="107"/>
      <c r="N543" s="106"/>
      <c r="O543" s="12"/>
      <c r="P543" s="13"/>
      <c r="Q543" s="12"/>
      <c r="R543" s="106"/>
      <c r="S543" s="107"/>
      <c r="T543" s="106"/>
      <c r="U543" s="33"/>
      <c r="V543" s="33"/>
      <c r="W543" s="33"/>
      <c r="X543" s="14"/>
      <c r="Y543" s="10"/>
      <c r="Z543" s="10"/>
      <c r="AA543" s="38">
        <f t="shared" si="90"/>
        <v>0</v>
      </c>
      <c r="AB543" s="17" t="e">
        <f t="shared" si="91"/>
        <v>#DIV/0!</v>
      </c>
    </row>
    <row r="544" spans="2:28" hidden="1" x14ac:dyDescent="0.2">
      <c r="B544" s="10" t="s">
        <v>61</v>
      </c>
      <c r="C544" s="98"/>
      <c r="D544" s="86"/>
      <c r="E544" s="86"/>
      <c r="F544" s="86"/>
      <c r="G544" s="86"/>
      <c r="H544" s="10"/>
      <c r="I544" s="12"/>
      <c r="J544" s="13"/>
      <c r="K544" s="12"/>
      <c r="L544" s="106"/>
      <c r="M544" s="107"/>
      <c r="N544" s="106"/>
      <c r="O544" s="12"/>
      <c r="P544" s="13"/>
      <c r="Q544" s="12"/>
      <c r="R544" s="106"/>
      <c r="S544" s="107"/>
      <c r="T544" s="106"/>
      <c r="U544" s="33"/>
      <c r="V544" s="33"/>
      <c r="W544" s="33"/>
      <c r="X544" s="14"/>
      <c r="Y544" s="10"/>
      <c r="Z544" s="10"/>
      <c r="AA544" s="38">
        <f t="shared" si="90"/>
        <v>0</v>
      </c>
      <c r="AB544" s="17" t="e">
        <f t="shared" si="91"/>
        <v>#DIV/0!</v>
      </c>
    </row>
    <row r="545" spans="2:28" hidden="1" x14ac:dyDescent="0.2">
      <c r="B545" s="10" t="s">
        <v>62</v>
      </c>
      <c r="C545" s="99"/>
      <c r="D545" s="87"/>
      <c r="E545" s="87"/>
      <c r="F545" s="87"/>
      <c r="G545" s="87"/>
      <c r="H545" s="11"/>
      <c r="I545" s="12"/>
      <c r="J545" s="13"/>
      <c r="K545" s="12"/>
      <c r="L545" s="106"/>
      <c r="M545" s="107"/>
      <c r="N545" s="106"/>
      <c r="O545" s="12"/>
      <c r="P545" s="13"/>
      <c r="Q545" s="12"/>
      <c r="R545" s="106"/>
      <c r="S545" s="107"/>
      <c r="T545" s="106"/>
      <c r="U545" s="35"/>
      <c r="V545" s="35"/>
      <c r="W545" s="35"/>
      <c r="X545" s="20"/>
      <c r="Y545" s="11"/>
      <c r="Z545" s="11"/>
      <c r="AA545" s="38">
        <f t="shared" si="90"/>
        <v>0</v>
      </c>
      <c r="AB545" s="17" t="e">
        <f t="shared" si="91"/>
        <v>#DIV/0!</v>
      </c>
    </row>
    <row r="546" spans="2:28" hidden="1" x14ac:dyDescent="0.2">
      <c r="B546" s="10" t="s">
        <v>63</v>
      </c>
      <c r="C546" s="11"/>
      <c r="D546" s="88"/>
      <c r="E546" s="88"/>
      <c r="F546" s="88"/>
      <c r="G546" s="88"/>
      <c r="H546" s="11"/>
      <c r="I546" s="12"/>
      <c r="J546" s="13"/>
      <c r="K546" s="12"/>
      <c r="L546" s="106"/>
      <c r="M546" s="107"/>
      <c r="N546" s="106"/>
      <c r="O546" s="12"/>
      <c r="P546" s="13"/>
      <c r="Q546" s="12"/>
      <c r="R546" s="106"/>
      <c r="S546" s="107"/>
      <c r="T546" s="106"/>
      <c r="U546" s="35"/>
      <c r="V546" s="35"/>
      <c r="W546" s="35"/>
      <c r="X546" s="20"/>
      <c r="Y546" s="11"/>
      <c r="Z546" s="11"/>
      <c r="AA546" s="38">
        <f t="shared" si="90"/>
        <v>0</v>
      </c>
      <c r="AB546" s="17" t="e">
        <f t="shared" si="91"/>
        <v>#DIV/0!</v>
      </c>
    </row>
    <row r="547" spans="2:28" hidden="1" x14ac:dyDescent="0.2">
      <c r="B547" s="10" t="s">
        <v>64</v>
      </c>
      <c r="C547" s="11"/>
      <c r="D547" s="11"/>
      <c r="E547" s="11"/>
      <c r="F547" s="11"/>
      <c r="G547" s="11"/>
      <c r="H547" s="11"/>
      <c r="I547" s="12"/>
      <c r="J547" s="13"/>
      <c r="K547" s="12"/>
      <c r="L547" s="106"/>
      <c r="M547" s="107"/>
      <c r="N547" s="106"/>
      <c r="O547" s="12"/>
      <c r="P547" s="13"/>
      <c r="Q547" s="12"/>
      <c r="R547" s="106"/>
      <c r="S547" s="107"/>
      <c r="T547" s="106"/>
      <c r="U547" s="35"/>
      <c r="V547" s="35"/>
      <c r="W547" s="35"/>
      <c r="X547" s="20"/>
      <c r="Y547" s="11"/>
      <c r="Z547" s="11"/>
      <c r="AA547" s="38">
        <f t="shared" si="90"/>
        <v>0</v>
      </c>
      <c r="AB547" s="17" t="e">
        <f t="shared" si="91"/>
        <v>#DIV/0!</v>
      </c>
    </row>
    <row r="548" spans="2:28" hidden="1" x14ac:dyDescent="0.2">
      <c r="B548" s="10" t="s">
        <v>137</v>
      </c>
      <c r="C548" s="11"/>
      <c r="D548" s="11"/>
      <c r="E548" s="11"/>
      <c r="F548" s="11"/>
      <c r="G548" s="11"/>
      <c r="H548" s="11"/>
      <c r="I548" s="12"/>
      <c r="J548" s="13"/>
      <c r="K548" s="12"/>
      <c r="L548" s="106"/>
      <c r="M548" s="107"/>
      <c r="N548" s="106"/>
      <c r="O548" s="12"/>
      <c r="P548" s="13"/>
      <c r="Q548" s="12"/>
      <c r="R548" s="106"/>
      <c r="S548" s="107"/>
      <c r="T548" s="106"/>
      <c r="U548" s="35"/>
      <c r="V548" s="35"/>
      <c r="W548" s="35"/>
      <c r="X548" s="20"/>
      <c r="Y548" s="11"/>
      <c r="Z548" s="11"/>
      <c r="AA548" s="38">
        <f t="shared" si="90"/>
        <v>0</v>
      </c>
      <c r="AB548" s="17" t="e">
        <f t="shared" si="91"/>
        <v>#DIV/0!</v>
      </c>
    </row>
    <row r="549" spans="2:28" hidden="1" x14ac:dyDescent="0.2">
      <c r="B549" s="10" t="s">
        <v>139</v>
      </c>
      <c r="C549" s="11"/>
      <c r="D549" s="11"/>
      <c r="E549" s="11"/>
      <c r="F549" s="11"/>
      <c r="G549" s="11"/>
      <c r="H549" s="11"/>
      <c r="I549" s="12"/>
      <c r="J549" s="13"/>
      <c r="K549" s="12"/>
      <c r="L549" s="106"/>
      <c r="M549" s="107"/>
      <c r="N549" s="106"/>
      <c r="O549" s="12"/>
      <c r="P549" s="13"/>
      <c r="Q549" s="12"/>
      <c r="R549" s="106"/>
      <c r="S549" s="107"/>
      <c r="T549" s="106"/>
      <c r="U549" s="35"/>
      <c r="V549" s="35"/>
      <c r="W549" s="35"/>
      <c r="X549" s="20"/>
      <c r="Y549" s="11"/>
      <c r="Z549" s="11"/>
      <c r="AA549" s="39">
        <f t="shared" si="90"/>
        <v>0</v>
      </c>
      <c r="AB549" s="17" t="e">
        <f t="shared" si="91"/>
        <v>#DIV/0!</v>
      </c>
    </row>
    <row r="550" spans="2:28" hidden="1" x14ac:dyDescent="0.2">
      <c r="B550" s="202" t="str">
        <f>'Exercise Selection'!C21</f>
        <v>(C3) Six</v>
      </c>
      <c r="C550" s="203"/>
      <c r="D550" s="203"/>
      <c r="E550" s="203"/>
      <c r="F550" s="203"/>
      <c r="G550" s="203"/>
      <c r="H550" s="203"/>
      <c r="I550" s="202" t="s">
        <v>119</v>
      </c>
      <c r="J550" s="203"/>
      <c r="K550" s="203"/>
      <c r="L550" s="202" t="s">
        <v>120</v>
      </c>
      <c r="M550" s="203"/>
      <c r="N550" s="203"/>
      <c r="O550" s="202" t="s">
        <v>121</v>
      </c>
      <c r="P550" s="203"/>
      <c r="Q550" s="203"/>
      <c r="R550" s="202" t="s">
        <v>122</v>
      </c>
      <c r="S550" s="203"/>
      <c r="T550" s="203"/>
      <c r="U550" s="202" t="s">
        <v>123</v>
      </c>
      <c r="V550" s="203"/>
      <c r="W550" s="203"/>
      <c r="X550" s="202" t="s">
        <v>124</v>
      </c>
      <c r="Y550" s="203"/>
      <c r="Z550" s="203"/>
      <c r="AA550" s="202" t="s">
        <v>126</v>
      </c>
      <c r="AB550" s="212" t="s">
        <v>127</v>
      </c>
    </row>
    <row r="551" spans="2:28" hidden="1" x14ac:dyDescent="0.2">
      <c r="B551" s="202"/>
      <c r="C551" s="203"/>
      <c r="D551" s="203"/>
      <c r="E551" s="203"/>
      <c r="F551" s="203"/>
      <c r="G551" s="203"/>
      <c r="H551" s="203"/>
      <c r="I551" s="148"/>
      <c r="J551" s="148"/>
      <c r="K551" s="148"/>
      <c r="L551" s="148"/>
      <c r="M551" s="148"/>
      <c r="N551" s="148"/>
      <c r="O551" s="148"/>
      <c r="P551" s="148"/>
      <c r="Q551" s="148"/>
      <c r="R551" s="148"/>
      <c r="S551" s="148"/>
      <c r="T551" s="148"/>
      <c r="U551" s="148"/>
      <c r="V551" s="148"/>
      <c r="W551" s="148"/>
      <c r="X551" s="148"/>
      <c r="Y551" s="148"/>
      <c r="Z551" s="148"/>
      <c r="AA551" s="203"/>
      <c r="AB551" s="213"/>
    </row>
    <row r="552" spans="2:28" hidden="1" x14ac:dyDescent="0.2">
      <c r="B552" s="80" t="s">
        <v>128</v>
      </c>
      <c r="C552" s="80" t="s">
        <v>129</v>
      </c>
      <c r="D552" s="80" t="s">
        <v>38</v>
      </c>
      <c r="E552" s="80" t="s">
        <v>130</v>
      </c>
      <c r="F552" s="80" t="s">
        <v>131</v>
      </c>
      <c r="G552" s="81" t="s">
        <v>132</v>
      </c>
      <c r="H552" s="82" t="s">
        <v>133</v>
      </c>
      <c r="I552" s="83" t="s">
        <v>134</v>
      </c>
      <c r="J552" s="83" t="s">
        <v>135</v>
      </c>
      <c r="K552" s="83" t="s">
        <v>133</v>
      </c>
      <c r="L552" s="83" t="s">
        <v>134</v>
      </c>
      <c r="M552" s="83" t="s">
        <v>135</v>
      </c>
      <c r="N552" s="83" t="s">
        <v>133</v>
      </c>
      <c r="O552" s="83" t="s">
        <v>134</v>
      </c>
      <c r="P552" s="83" t="s">
        <v>135</v>
      </c>
      <c r="Q552" s="83" t="s">
        <v>133</v>
      </c>
      <c r="R552" s="83" t="s">
        <v>134</v>
      </c>
      <c r="S552" s="83" t="s">
        <v>135</v>
      </c>
      <c r="T552" s="83" t="s">
        <v>133</v>
      </c>
      <c r="U552" s="83" t="s">
        <v>134</v>
      </c>
      <c r="V552" s="83" t="s">
        <v>135</v>
      </c>
      <c r="W552" s="83" t="s">
        <v>133</v>
      </c>
      <c r="X552" s="83" t="s">
        <v>134</v>
      </c>
      <c r="Y552" s="83" t="s">
        <v>135</v>
      </c>
      <c r="Z552" s="84" t="s">
        <v>133</v>
      </c>
      <c r="AA552" s="203"/>
      <c r="AB552" s="213"/>
    </row>
    <row r="553" spans="2:28" hidden="1" x14ac:dyDescent="0.2">
      <c r="B553" s="10" t="s">
        <v>59</v>
      </c>
      <c r="C553" s="10"/>
      <c r="D553" s="10"/>
      <c r="E553" s="10"/>
      <c r="F553" s="10"/>
      <c r="G553" s="10"/>
      <c r="H553" s="10"/>
      <c r="I553" s="12"/>
      <c r="J553" s="13"/>
      <c r="K553" s="12"/>
      <c r="L553" s="106"/>
      <c r="M553" s="107"/>
      <c r="N553" s="106"/>
      <c r="O553" s="12"/>
      <c r="P553" s="13"/>
      <c r="Q553" s="12"/>
      <c r="R553" s="106"/>
      <c r="S553" s="107"/>
      <c r="T553" s="106"/>
      <c r="U553" s="33"/>
      <c r="V553" s="34"/>
      <c r="W553" s="33"/>
      <c r="X553" s="14"/>
      <c r="Y553" s="10"/>
      <c r="Z553" s="10"/>
      <c r="AA553" s="37">
        <f t="shared" ref="AA553:AA560" si="92">SUM(I553*J553)+(L553*M553)+(O553*P553)+(R553*S553)+(U553*V553)+(X553*Y553)</f>
        <v>0</v>
      </c>
      <c r="AB553" s="17" t="e">
        <f t="shared" ref="AB553:AB560" si="93">AVERAGE(K553,N553,Q553,T553,W553,Z553)</f>
        <v>#DIV/0!</v>
      </c>
    </row>
    <row r="554" spans="2:28" hidden="1" x14ac:dyDescent="0.2">
      <c r="B554" s="10" t="s">
        <v>60</v>
      </c>
      <c r="C554" s="10"/>
      <c r="D554" s="10"/>
      <c r="E554" s="10"/>
      <c r="F554" s="10"/>
      <c r="G554" s="10"/>
      <c r="H554" s="10"/>
      <c r="I554" s="12"/>
      <c r="J554" s="13"/>
      <c r="K554" s="12"/>
      <c r="L554" s="106"/>
      <c r="M554" s="107"/>
      <c r="N554" s="106"/>
      <c r="O554" s="12"/>
      <c r="P554" s="13"/>
      <c r="Q554" s="12"/>
      <c r="R554" s="106"/>
      <c r="S554" s="107"/>
      <c r="T554" s="106"/>
      <c r="U554" s="33"/>
      <c r="V554" s="33"/>
      <c r="W554" s="33"/>
      <c r="X554" s="14"/>
      <c r="Y554" s="10"/>
      <c r="Z554" s="10"/>
      <c r="AA554" s="38">
        <f t="shared" si="92"/>
        <v>0</v>
      </c>
      <c r="AB554" s="17" t="e">
        <f t="shared" si="93"/>
        <v>#DIV/0!</v>
      </c>
    </row>
    <row r="555" spans="2:28" hidden="1" x14ac:dyDescent="0.2">
      <c r="B555" s="10" t="s">
        <v>61</v>
      </c>
      <c r="C555" s="10"/>
      <c r="D555" s="10"/>
      <c r="E555" s="10"/>
      <c r="F555" s="10"/>
      <c r="G555" s="10"/>
      <c r="H555" s="10"/>
      <c r="I555" s="12"/>
      <c r="J555" s="13"/>
      <c r="K555" s="12"/>
      <c r="L555" s="106"/>
      <c r="M555" s="107"/>
      <c r="N555" s="106"/>
      <c r="O555" s="12"/>
      <c r="P555" s="13"/>
      <c r="Q555" s="12"/>
      <c r="R555" s="106"/>
      <c r="S555" s="107"/>
      <c r="T555" s="106"/>
      <c r="U555" s="33"/>
      <c r="V555" s="33"/>
      <c r="W555" s="33"/>
      <c r="X555" s="14"/>
      <c r="Y555" s="10"/>
      <c r="Z555" s="10"/>
      <c r="AA555" s="38">
        <f t="shared" si="92"/>
        <v>0</v>
      </c>
      <c r="AB555" s="17" t="e">
        <f t="shared" si="93"/>
        <v>#DIV/0!</v>
      </c>
    </row>
    <row r="556" spans="2:28" hidden="1" x14ac:dyDescent="0.2">
      <c r="B556" s="10" t="s">
        <v>62</v>
      </c>
      <c r="C556" s="11"/>
      <c r="D556" s="11"/>
      <c r="E556" s="11"/>
      <c r="F556" s="11"/>
      <c r="G556" s="11"/>
      <c r="H556" s="11"/>
      <c r="I556" s="12"/>
      <c r="J556" s="13"/>
      <c r="K556" s="12"/>
      <c r="L556" s="106"/>
      <c r="M556" s="107"/>
      <c r="N556" s="106"/>
      <c r="O556" s="12"/>
      <c r="P556" s="13"/>
      <c r="Q556" s="12"/>
      <c r="R556" s="106"/>
      <c r="S556" s="107"/>
      <c r="T556" s="106"/>
      <c r="U556" s="35"/>
      <c r="V556" s="35"/>
      <c r="W556" s="35"/>
      <c r="X556" s="20"/>
      <c r="Y556" s="11"/>
      <c r="Z556" s="11"/>
      <c r="AA556" s="38">
        <f t="shared" si="92"/>
        <v>0</v>
      </c>
      <c r="AB556" s="17" t="e">
        <f t="shared" si="93"/>
        <v>#DIV/0!</v>
      </c>
    </row>
    <row r="557" spans="2:28" hidden="1" x14ac:dyDescent="0.2">
      <c r="B557" s="10" t="s">
        <v>63</v>
      </c>
      <c r="C557" s="11"/>
      <c r="D557" s="11"/>
      <c r="E557" s="11"/>
      <c r="F557" s="11"/>
      <c r="G557" s="11"/>
      <c r="H557" s="11"/>
      <c r="I557" s="12"/>
      <c r="J557" s="13"/>
      <c r="K557" s="12"/>
      <c r="L557" s="106"/>
      <c r="M557" s="107"/>
      <c r="N557" s="106"/>
      <c r="O557" s="12"/>
      <c r="P557" s="13"/>
      <c r="Q557" s="12"/>
      <c r="R557" s="106"/>
      <c r="S557" s="107"/>
      <c r="T557" s="106"/>
      <c r="U557" s="35"/>
      <c r="V557" s="35"/>
      <c r="W557" s="35"/>
      <c r="X557" s="20"/>
      <c r="Y557" s="11"/>
      <c r="Z557" s="11"/>
      <c r="AA557" s="38">
        <f t="shared" si="92"/>
        <v>0</v>
      </c>
      <c r="AB557" s="17" t="e">
        <f t="shared" si="93"/>
        <v>#DIV/0!</v>
      </c>
    </row>
    <row r="558" spans="2:28" hidden="1" x14ac:dyDescent="0.2">
      <c r="B558" s="10" t="s">
        <v>64</v>
      </c>
      <c r="C558" s="11"/>
      <c r="D558" s="11"/>
      <c r="E558" s="11"/>
      <c r="F558" s="11"/>
      <c r="G558" s="11"/>
      <c r="H558" s="11"/>
      <c r="I558" s="12"/>
      <c r="J558" s="13"/>
      <c r="K558" s="12"/>
      <c r="L558" s="106"/>
      <c r="M558" s="107"/>
      <c r="N558" s="106"/>
      <c r="O558" s="12"/>
      <c r="P558" s="13"/>
      <c r="Q558" s="12"/>
      <c r="R558" s="106"/>
      <c r="S558" s="107"/>
      <c r="T558" s="106"/>
      <c r="U558" s="35"/>
      <c r="V558" s="35"/>
      <c r="W558" s="35"/>
      <c r="X558" s="20"/>
      <c r="Y558" s="11"/>
      <c r="Z558" s="11"/>
      <c r="AA558" s="38">
        <f t="shared" si="92"/>
        <v>0</v>
      </c>
      <c r="AB558" s="17" t="e">
        <f t="shared" si="93"/>
        <v>#DIV/0!</v>
      </c>
    </row>
    <row r="559" spans="2:28" hidden="1" x14ac:dyDescent="0.2">
      <c r="B559" s="10" t="s">
        <v>137</v>
      </c>
      <c r="C559" s="11"/>
      <c r="D559" s="11"/>
      <c r="E559" s="11"/>
      <c r="F559" s="11"/>
      <c r="G559" s="11"/>
      <c r="H559" s="11"/>
      <c r="I559" s="12"/>
      <c r="J559" s="13"/>
      <c r="K559" s="12"/>
      <c r="L559" s="106"/>
      <c r="M559" s="107"/>
      <c r="N559" s="106"/>
      <c r="O559" s="12"/>
      <c r="P559" s="13"/>
      <c r="Q559" s="12"/>
      <c r="R559" s="106"/>
      <c r="S559" s="107"/>
      <c r="T559" s="106"/>
      <c r="U559" s="35"/>
      <c r="V559" s="35"/>
      <c r="W559" s="35"/>
      <c r="X559" s="20"/>
      <c r="Y559" s="11"/>
      <c r="Z559" s="11"/>
      <c r="AA559" s="38">
        <f t="shared" si="92"/>
        <v>0</v>
      </c>
      <c r="AB559" s="17" t="e">
        <f t="shared" si="93"/>
        <v>#DIV/0!</v>
      </c>
    </row>
    <row r="560" spans="2:28" hidden="1" x14ac:dyDescent="0.2">
      <c r="B560" s="10" t="s">
        <v>139</v>
      </c>
      <c r="C560" s="11"/>
      <c r="D560" s="11"/>
      <c r="E560" s="11"/>
      <c r="F560" s="11"/>
      <c r="G560" s="11"/>
      <c r="H560" s="11"/>
      <c r="I560" s="12"/>
      <c r="J560" s="13"/>
      <c r="K560" s="12"/>
      <c r="L560" s="106"/>
      <c r="M560" s="107"/>
      <c r="N560" s="106"/>
      <c r="O560" s="12"/>
      <c r="P560" s="13"/>
      <c r="Q560" s="12"/>
      <c r="R560" s="106"/>
      <c r="S560" s="107"/>
      <c r="T560" s="106"/>
      <c r="U560" s="35"/>
      <c r="V560" s="35"/>
      <c r="W560" s="35"/>
      <c r="X560" s="20"/>
      <c r="Y560" s="11"/>
      <c r="Z560" s="11"/>
      <c r="AA560" s="39">
        <f t="shared" si="92"/>
        <v>0</v>
      </c>
      <c r="AB560" s="17" t="e">
        <f t="shared" si="93"/>
        <v>#DIV/0!</v>
      </c>
    </row>
    <row r="561" spans="2:28" hidden="1" x14ac:dyDescent="0.2">
      <c r="B561" s="202" t="str">
        <f>'Exercise Selection'!C22</f>
        <v>(D1) Six</v>
      </c>
      <c r="C561" s="203"/>
      <c r="D561" s="203"/>
      <c r="E561" s="203"/>
      <c r="F561" s="203"/>
      <c r="G561" s="203"/>
      <c r="H561" s="203"/>
      <c r="I561" s="202" t="s">
        <v>119</v>
      </c>
      <c r="J561" s="203"/>
      <c r="K561" s="203"/>
      <c r="L561" s="202" t="s">
        <v>120</v>
      </c>
      <c r="M561" s="203"/>
      <c r="N561" s="203"/>
      <c r="O561" s="202" t="s">
        <v>121</v>
      </c>
      <c r="P561" s="203"/>
      <c r="Q561" s="203"/>
      <c r="R561" s="202" t="s">
        <v>122</v>
      </c>
      <c r="S561" s="203"/>
      <c r="T561" s="203"/>
      <c r="U561" s="202" t="s">
        <v>123</v>
      </c>
      <c r="V561" s="203"/>
      <c r="W561" s="203"/>
      <c r="X561" s="202" t="s">
        <v>124</v>
      </c>
      <c r="Y561" s="203"/>
      <c r="Z561" s="203"/>
      <c r="AA561" s="202" t="s">
        <v>126</v>
      </c>
      <c r="AB561" s="202" t="s">
        <v>127</v>
      </c>
    </row>
    <row r="562" spans="2:28" hidden="1" x14ac:dyDescent="0.2">
      <c r="B562" s="202"/>
      <c r="C562" s="203"/>
      <c r="D562" s="203"/>
      <c r="E562" s="203"/>
      <c r="F562" s="203"/>
      <c r="G562" s="203"/>
      <c r="H562" s="203"/>
      <c r="I562" s="148"/>
      <c r="J562" s="148"/>
      <c r="K562" s="148"/>
      <c r="L562" s="148"/>
      <c r="M562" s="148"/>
      <c r="N562" s="148"/>
      <c r="O562" s="148"/>
      <c r="P562" s="148"/>
      <c r="Q562" s="148"/>
      <c r="R562" s="148"/>
      <c r="S562" s="148"/>
      <c r="T562" s="148"/>
      <c r="U562" s="148"/>
      <c r="V562" s="148"/>
      <c r="W562" s="148"/>
      <c r="X562" s="148"/>
      <c r="Y562" s="148"/>
      <c r="Z562" s="148"/>
      <c r="AA562" s="203"/>
      <c r="AB562" s="203"/>
    </row>
    <row r="563" spans="2:28" hidden="1" x14ac:dyDescent="0.2">
      <c r="B563" s="80" t="s">
        <v>128</v>
      </c>
      <c r="C563" s="80" t="s">
        <v>129</v>
      </c>
      <c r="D563" s="80" t="s">
        <v>38</v>
      </c>
      <c r="E563" s="80" t="s">
        <v>130</v>
      </c>
      <c r="F563" s="80" t="s">
        <v>131</v>
      </c>
      <c r="G563" s="81" t="s">
        <v>132</v>
      </c>
      <c r="H563" s="82" t="s">
        <v>133</v>
      </c>
      <c r="I563" s="80" t="s">
        <v>134</v>
      </c>
      <c r="J563" s="80" t="s">
        <v>135</v>
      </c>
      <c r="K563" s="80" t="s">
        <v>133</v>
      </c>
      <c r="L563" s="80" t="s">
        <v>134</v>
      </c>
      <c r="M563" s="80" t="s">
        <v>135</v>
      </c>
      <c r="N563" s="80" t="s">
        <v>133</v>
      </c>
      <c r="O563" s="80" t="s">
        <v>134</v>
      </c>
      <c r="P563" s="80" t="s">
        <v>135</v>
      </c>
      <c r="Q563" s="80" t="s">
        <v>133</v>
      </c>
      <c r="R563" s="80" t="s">
        <v>134</v>
      </c>
      <c r="S563" s="80" t="s">
        <v>135</v>
      </c>
      <c r="T563" s="80" t="s">
        <v>133</v>
      </c>
      <c r="U563" s="80" t="s">
        <v>134</v>
      </c>
      <c r="V563" s="80" t="s">
        <v>135</v>
      </c>
      <c r="W563" s="80" t="s">
        <v>133</v>
      </c>
      <c r="X563" s="80" t="s">
        <v>134</v>
      </c>
      <c r="Y563" s="80" t="s">
        <v>135</v>
      </c>
      <c r="Z563" s="82" t="s">
        <v>133</v>
      </c>
      <c r="AA563" s="203"/>
      <c r="AB563" s="203"/>
    </row>
    <row r="564" spans="2:28" hidden="1" x14ac:dyDescent="0.2">
      <c r="B564" s="10" t="s">
        <v>59</v>
      </c>
      <c r="C564" s="10"/>
      <c r="D564" s="10"/>
      <c r="E564" s="10"/>
      <c r="F564" s="10"/>
      <c r="G564" s="10"/>
      <c r="H564" s="10"/>
      <c r="I564" s="12"/>
      <c r="J564" s="13"/>
      <c r="K564" s="12"/>
      <c r="L564" s="106"/>
      <c r="M564" s="107"/>
      <c r="N564" s="106"/>
      <c r="O564" s="12"/>
      <c r="P564" s="13"/>
      <c r="Q564" s="12"/>
      <c r="R564" s="106"/>
      <c r="S564" s="107"/>
      <c r="T564" s="106"/>
      <c r="U564" s="12"/>
      <c r="V564" s="13"/>
      <c r="W564" s="12"/>
      <c r="X564" s="14"/>
      <c r="Y564" s="10"/>
      <c r="Z564" s="10"/>
      <c r="AA564" s="19">
        <f t="shared" ref="AA564:AA571" si="94">SUM(I564*J564)+(L564*M564)+(O564*P564)+(R564*S564)+(U564*V564)+(X564*Y564)</f>
        <v>0</v>
      </c>
      <c r="AB564" s="17" t="e">
        <f t="shared" ref="AB564:AB571" si="95">AVERAGE(K564,N564,Q564,T564,W564,Z564)</f>
        <v>#DIV/0!</v>
      </c>
    </row>
    <row r="565" spans="2:28" hidden="1" x14ac:dyDescent="0.2">
      <c r="B565" s="10" t="s">
        <v>60</v>
      </c>
      <c r="C565" s="10"/>
      <c r="D565" s="10"/>
      <c r="E565" s="10"/>
      <c r="F565" s="10"/>
      <c r="G565" s="10"/>
      <c r="H565" s="10"/>
      <c r="I565" s="12"/>
      <c r="J565" s="13"/>
      <c r="K565" s="12"/>
      <c r="L565" s="106"/>
      <c r="M565" s="107"/>
      <c r="N565" s="106"/>
      <c r="O565" s="12"/>
      <c r="P565" s="13"/>
      <c r="Q565" s="12"/>
      <c r="R565" s="106"/>
      <c r="S565" s="107"/>
      <c r="T565" s="106"/>
      <c r="U565" s="12"/>
      <c r="V565" s="12"/>
      <c r="W565" s="12"/>
      <c r="X565" s="14"/>
      <c r="Y565" s="10"/>
      <c r="Z565" s="10"/>
      <c r="AA565" s="16">
        <f t="shared" si="94"/>
        <v>0</v>
      </c>
      <c r="AB565" s="17" t="e">
        <f t="shared" si="95"/>
        <v>#DIV/0!</v>
      </c>
    </row>
    <row r="566" spans="2:28" hidden="1" x14ac:dyDescent="0.2">
      <c r="B566" s="10" t="s">
        <v>61</v>
      </c>
      <c r="C566" s="10"/>
      <c r="D566" s="10"/>
      <c r="E566" s="10"/>
      <c r="F566" s="10"/>
      <c r="G566" s="10"/>
      <c r="H566" s="10"/>
      <c r="I566" s="12"/>
      <c r="J566" s="13"/>
      <c r="K566" s="12"/>
      <c r="L566" s="106"/>
      <c r="M566" s="107"/>
      <c r="N566" s="106"/>
      <c r="O566" s="12"/>
      <c r="P566" s="13"/>
      <c r="Q566" s="12"/>
      <c r="R566" s="106"/>
      <c r="S566" s="107"/>
      <c r="T566" s="106"/>
      <c r="U566" s="12"/>
      <c r="V566" s="12"/>
      <c r="W566" s="12"/>
      <c r="X566" s="14"/>
      <c r="Y566" s="10"/>
      <c r="Z566" s="10"/>
      <c r="AA566" s="16">
        <f t="shared" si="94"/>
        <v>0</v>
      </c>
      <c r="AB566" s="17" t="e">
        <f t="shared" si="95"/>
        <v>#DIV/0!</v>
      </c>
    </row>
    <row r="567" spans="2:28" hidden="1" x14ac:dyDescent="0.2">
      <c r="B567" s="10" t="s">
        <v>62</v>
      </c>
      <c r="C567" s="10"/>
      <c r="D567" s="10"/>
      <c r="E567" s="10"/>
      <c r="F567" s="10"/>
      <c r="G567" s="10"/>
      <c r="H567" s="10"/>
      <c r="I567" s="12"/>
      <c r="J567" s="13"/>
      <c r="K567" s="12"/>
      <c r="L567" s="106"/>
      <c r="M567" s="107"/>
      <c r="N567" s="106"/>
      <c r="O567" s="12"/>
      <c r="P567" s="13"/>
      <c r="Q567" s="12"/>
      <c r="R567" s="106"/>
      <c r="S567" s="107"/>
      <c r="T567" s="106"/>
      <c r="U567" s="12"/>
      <c r="V567" s="12"/>
      <c r="W567" s="12"/>
      <c r="X567" s="14"/>
      <c r="Y567" s="10"/>
      <c r="Z567" s="10"/>
      <c r="AA567" s="16">
        <f t="shared" si="94"/>
        <v>0</v>
      </c>
      <c r="AB567" s="17" t="e">
        <f t="shared" si="95"/>
        <v>#DIV/0!</v>
      </c>
    </row>
    <row r="568" spans="2:28" hidden="1" x14ac:dyDescent="0.2">
      <c r="B568" s="10" t="s">
        <v>63</v>
      </c>
      <c r="C568" s="10"/>
      <c r="D568" s="10"/>
      <c r="E568" s="10"/>
      <c r="F568" s="10"/>
      <c r="G568" s="10"/>
      <c r="H568" s="10"/>
      <c r="I568" s="12"/>
      <c r="J568" s="13"/>
      <c r="K568" s="12"/>
      <c r="L568" s="106"/>
      <c r="M568" s="107"/>
      <c r="N568" s="106"/>
      <c r="O568" s="12"/>
      <c r="P568" s="13"/>
      <c r="Q568" s="12"/>
      <c r="R568" s="106"/>
      <c r="S568" s="107"/>
      <c r="T568" s="106"/>
      <c r="U568" s="12"/>
      <c r="V568" s="12"/>
      <c r="W568" s="12"/>
      <c r="X568" s="14"/>
      <c r="Y568" s="10"/>
      <c r="Z568" s="10"/>
      <c r="AA568" s="16">
        <f t="shared" si="94"/>
        <v>0</v>
      </c>
      <c r="AB568" s="17" t="e">
        <f t="shared" si="95"/>
        <v>#DIV/0!</v>
      </c>
    </row>
    <row r="569" spans="2:28" hidden="1" x14ac:dyDescent="0.2">
      <c r="B569" s="10" t="s">
        <v>64</v>
      </c>
      <c r="C569" s="10"/>
      <c r="D569" s="10"/>
      <c r="E569" s="10"/>
      <c r="F569" s="10"/>
      <c r="G569" s="10"/>
      <c r="H569" s="10"/>
      <c r="I569" s="12"/>
      <c r="J569" s="13"/>
      <c r="K569" s="12"/>
      <c r="L569" s="106"/>
      <c r="M569" s="107"/>
      <c r="N569" s="106"/>
      <c r="O569" s="12"/>
      <c r="P569" s="13"/>
      <c r="Q569" s="12"/>
      <c r="R569" s="106"/>
      <c r="S569" s="107"/>
      <c r="T569" s="106"/>
      <c r="U569" s="12"/>
      <c r="V569" s="12"/>
      <c r="W569" s="12"/>
      <c r="X569" s="14"/>
      <c r="Y569" s="10"/>
      <c r="Z569" s="10"/>
      <c r="AA569" s="16">
        <f t="shared" si="94"/>
        <v>0</v>
      </c>
      <c r="AB569" s="17" t="e">
        <f t="shared" si="95"/>
        <v>#DIV/0!</v>
      </c>
    </row>
    <row r="570" spans="2:28" hidden="1" x14ac:dyDescent="0.2">
      <c r="B570" s="10" t="s">
        <v>137</v>
      </c>
      <c r="C570" s="10"/>
      <c r="D570" s="10"/>
      <c r="E570" s="10"/>
      <c r="F570" s="10"/>
      <c r="G570" s="10"/>
      <c r="H570" s="10"/>
      <c r="I570" s="12"/>
      <c r="J570" s="13"/>
      <c r="K570" s="12"/>
      <c r="L570" s="106"/>
      <c r="M570" s="107"/>
      <c r="N570" s="106"/>
      <c r="O570" s="12"/>
      <c r="P570" s="13"/>
      <c r="Q570" s="12"/>
      <c r="R570" s="106"/>
      <c r="S570" s="107"/>
      <c r="T570" s="106"/>
      <c r="U570" s="12"/>
      <c r="V570" s="12"/>
      <c r="W570" s="12"/>
      <c r="X570" s="14"/>
      <c r="Y570" s="10"/>
      <c r="Z570" s="10"/>
      <c r="AA570" s="16">
        <f t="shared" si="94"/>
        <v>0</v>
      </c>
      <c r="AB570" s="17" t="e">
        <f t="shared" si="95"/>
        <v>#DIV/0!</v>
      </c>
    </row>
    <row r="571" spans="2:28" hidden="1" x14ac:dyDescent="0.2">
      <c r="B571" s="10" t="s">
        <v>139</v>
      </c>
      <c r="C571" s="10"/>
      <c r="D571" s="10"/>
      <c r="E571" s="10"/>
      <c r="F571" s="10"/>
      <c r="G571" s="10"/>
      <c r="H571" s="10"/>
      <c r="I571" s="12"/>
      <c r="J571" s="13"/>
      <c r="K571" s="12"/>
      <c r="L571" s="106"/>
      <c r="M571" s="107"/>
      <c r="N571" s="106"/>
      <c r="O571" s="12"/>
      <c r="P571" s="13"/>
      <c r="Q571" s="12"/>
      <c r="R571" s="106"/>
      <c r="S571" s="107"/>
      <c r="T571" s="106"/>
      <c r="U571" s="12"/>
      <c r="V571" s="12"/>
      <c r="W571" s="12"/>
      <c r="X571" s="14"/>
      <c r="Y571" s="10"/>
      <c r="Z571" s="10"/>
      <c r="AA571" s="16">
        <f t="shared" si="94"/>
        <v>0</v>
      </c>
      <c r="AB571" s="17" t="e">
        <f t="shared" si="95"/>
        <v>#DIV/0!</v>
      </c>
    </row>
    <row r="572" spans="2:28" hidden="1" x14ac:dyDescent="0.2">
      <c r="B572" s="125"/>
      <c r="C572" s="125"/>
      <c r="D572" s="125"/>
      <c r="E572" s="125"/>
      <c r="F572" s="125"/>
      <c r="G572" s="125"/>
      <c r="H572" s="125"/>
      <c r="I572" s="125"/>
      <c r="J572" s="126"/>
      <c r="K572" s="125"/>
      <c r="L572" s="125"/>
      <c r="M572" s="126"/>
      <c r="N572" s="125"/>
      <c r="O572" s="125"/>
      <c r="P572" s="126"/>
      <c r="Q572" s="125"/>
      <c r="R572" s="125"/>
      <c r="S572" s="126"/>
      <c r="T572" s="125"/>
      <c r="U572" s="125"/>
      <c r="V572" s="125"/>
      <c r="W572" s="125"/>
      <c r="X572" s="125"/>
      <c r="Y572" s="125"/>
      <c r="Z572" s="125"/>
      <c r="AA572" s="125"/>
      <c r="AB572" s="125"/>
    </row>
    <row r="573" spans="2:28" hidden="1" x14ac:dyDescent="0.2">
      <c r="B573" s="208" t="s">
        <v>142</v>
      </c>
      <c r="C573" s="208"/>
      <c r="D573" s="208"/>
      <c r="E573" s="208"/>
      <c r="F573" s="208"/>
      <c r="G573" s="208"/>
      <c r="H573" s="208"/>
      <c r="I573" s="206">
        <f>SUM(AA487+AA498+AA509+AA520+AA531+AA542+AA553+AA564)</f>
        <v>0</v>
      </c>
      <c r="J573" s="207"/>
      <c r="K573" s="207"/>
      <c r="L573" s="208" t="s">
        <v>143</v>
      </c>
      <c r="M573" s="208"/>
      <c r="N573" s="208"/>
      <c r="O573" s="208"/>
      <c r="P573" s="208"/>
      <c r="Q573" s="206">
        <f>SUM(AA488+AA499+AA510+AA521+AA532+AA543+AA554+AA565)</f>
        <v>0</v>
      </c>
      <c r="R573" s="207"/>
      <c r="S573" s="207"/>
      <c r="T573" s="216" t="s">
        <v>144</v>
      </c>
      <c r="U573" s="216"/>
      <c r="V573" s="216"/>
      <c r="W573" s="216"/>
      <c r="X573" s="216"/>
      <c r="Y573" s="216"/>
      <c r="Z573" s="216"/>
      <c r="AA573" s="216"/>
      <c r="AB573" s="216"/>
    </row>
    <row r="574" spans="2:28" hidden="1" x14ac:dyDescent="0.2">
      <c r="B574" s="208" t="s">
        <v>145</v>
      </c>
      <c r="C574" s="208"/>
      <c r="D574" s="208"/>
      <c r="E574" s="208"/>
      <c r="F574" s="208"/>
      <c r="G574" s="208"/>
      <c r="H574" s="208"/>
      <c r="I574" s="206">
        <f>SUM(AA489+AA500+AA511+AA522+AA533+AA544+AA555+AA566)</f>
        <v>0</v>
      </c>
      <c r="J574" s="207"/>
      <c r="K574" s="207"/>
      <c r="L574" s="208" t="s">
        <v>146</v>
      </c>
      <c r="M574" s="208"/>
      <c r="N574" s="208"/>
      <c r="O574" s="208"/>
      <c r="P574" s="208"/>
      <c r="Q574" s="206">
        <f>SUM(AA490+AA501+AA512+AA523+AA534+AA545+AA556+AA567)</f>
        <v>0</v>
      </c>
      <c r="R574" s="207"/>
      <c r="S574" s="207"/>
      <c r="T574" s="206">
        <f>SUM(I573+Q573+I574+Q574+I575+Q575+I576+Q576)</f>
        <v>0</v>
      </c>
      <c r="U574" s="207"/>
      <c r="V574" s="207"/>
      <c r="W574" s="207"/>
      <c r="X574" s="207"/>
      <c r="Y574" s="207"/>
      <c r="Z574" s="207"/>
      <c r="AA574" s="207"/>
      <c r="AB574" s="207"/>
    </row>
    <row r="575" spans="2:28" hidden="1" x14ac:dyDescent="0.2">
      <c r="B575" s="208" t="s">
        <v>147</v>
      </c>
      <c r="C575" s="208"/>
      <c r="D575" s="208"/>
      <c r="E575" s="208"/>
      <c r="F575" s="208"/>
      <c r="G575" s="208"/>
      <c r="H575" s="208"/>
      <c r="I575" s="206">
        <f>SUM(AA491+AA502+AA513+AA524+AA535+AA546+AA557+AA568)</f>
        <v>0</v>
      </c>
      <c r="J575" s="207"/>
      <c r="K575" s="207"/>
      <c r="L575" s="208" t="s">
        <v>148</v>
      </c>
      <c r="M575" s="208"/>
      <c r="N575" s="208"/>
      <c r="O575" s="208"/>
      <c r="P575" s="208"/>
      <c r="Q575" s="206">
        <f>SUM(AA492+AA503+AA514+AA525+AA536+AA547+AA558+AA569)</f>
        <v>0</v>
      </c>
      <c r="R575" s="207"/>
      <c r="S575" s="207"/>
      <c r="T575" s="149"/>
      <c r="U575" s="149"/>
      <c r="V575" s="149"/>
      <c r="W575" s="149"/>
      <c r="X575" s="149"/>
      <c r="Y575" s="149"/>
      <c r="Z575" s="149"/>
      <c r="AA575" s="149"/>
      <c r="AB575" s="149"/>
    </row>
    <row r="576" spans="2:28" hidden="1" x14ac:dyDescent="0.2">
      <c r="B576" s="208" t="s">
        <v>149</v>
      </c>
      <c r="C576" s="208"/>
      <c r="D576" s="208"/>
      <c r="E576" s="208"/>
      <c r="F576" s="208"/>
      <c r="G576" s="208"/>
      <c r="H576" s="208"/>
      <c r="I576" s="206">
        <f>SUM(AA493+AA504+AA515+AA526+AA537+AA548+AA559+AA570)</f>
        <v>0</v>
      </c>
      <c r="J576" s="207"/>
      <c r="K576" s="207"/>
      <c r="L576" s="208" t="s">
        <v>150</v>
      </c>
      <c r="M576" s="208"/>
      <c r="N576" s="208"/>
      <c r="O576" s="208"/>
      <c r="P576" s="208"/>
      <c r="Q576" s="206">
        <f>SUM(AA494+AA505+AA516+AA527+AA538+AA549+AA560+AA571)</f>
        <v>0</v>
      </c>
      <c r="R576" s="207"/>
      <c r="S576" s="207"/>
      <c r="T576" s="149"/>
      <c r="U576" s="149"/>
      <c r="V576" s="149"/>
      <c r="W576" s="149"/>
      <c r="X576" s="149"/>
      <c r="Y576" s="149"/>
      <c r="Z576" s="149"/>
      <c r="AA576" s="149"/>
      <c r="AB576" s="149"/>
    </row>
    <row r="577" spans="2:28" hidden="1" x14ac:dyDescent="0.2">
      <c r="B577" s="150"/>
      <c r="C577" s="150"/>
      <c r="D577" s="150"/>
      <c r="E577" s="150"/>
      <c r="F577" s="150"/>
      <c r="G577" s="150"/>
      <c r="H577" s="150"/>
      <c r="I577" s="149"/>
      <c r="J577" s="149"/>
      <c r="K577" s="149"/>
      <c r="L577" s="150"/>
      <c r="M577" s="150"/>
      <c r="N577" s="150"/>
      <c r="O577" s="150"/>
      <c r="P577" s="150"/>
      <c r="Q577" s="149"/>
      <c r="R577" s="149"/>
      <c r="S577" s="149"/>
      <c r="T577" s="149"/>
      <c r="U577" s="149"/>
      <c r="V577" s="149"/>
      <c r="W577" s="149"/>
      <c r="X577" s="149"/>
      <c r="Y577" s="149"/>
      <c r="Z577" s="149"/>
      <c r="AA577" s="149"/>
      <c r="AB577" s="149"/>
    </row>
    <row r="578" spans="2:28" hidden="1" x14ac:dyDescent="0.2">
      <c r="B578" s="150"/>
      <c r="C578" s="150"/>
      <c r="D578" s="150"/>
      <c r="E578" s="150"/>
      <c r="F578" s="150"/>
      <c r="G578" s="150"/>
      <c r="H578" s="150"/>
      <c r="I578" s="149"/>
      <c r="J578" s="149"/>
      <c r="K578" s="149"/>
      <c r="L578" s="150"/>
      <c r="M578" s="150"/>
      <c r="N578" s="150"/>
      <c r="O578" s="150"/>
      <c r="P578" s="150"/>
      <c r="Q578" s="149"/>
      <c r="R578" s="149"/>
      <c r="S578" s="149"/>
      <c r="T578" s="149"/>
      <c r="U578" s="149"/>
      <c r="V578" s="149"/>
      <c r="W578" s="149"/>
      <c r="X578" s="149"/>
      <c r="Y578" s="149"/>
      <c r="Z578" s="149"/>
      <c r="AA578" s="149"/>
      <c r="AB578" s="149"/>
    </row>
    <row r="579" spans="2:28" x14ac:dyDescent="0.2">
      <c r="B579" s="219" t="s">
        <v>172</v>
      </c>
      <c r="C579" s="220"/>
      <c r="D579" s="220"/>
      <c r="E579" s="220"/>
      <c r="F579" s="220"/>
      <c r="G579" s="220"/>
      <c r="H579" s="220"/>
      <c r="I579" s="220"/>
      <c r="J579" s="220"/>
      <c r="K579" s="220"/>
      <c r="L579" s="220"/>
      <c r="M579" s="220"/>
      <c r="N579" s="220"/>
      <c r="O579" s="220"/>
      <c r="P579" s="220"/>
      <c r="Q579" s="220"/>
      <c r="R579" s="220"/>
      <c r="S579" s="220"/>
      <c r="T579" s="220"/>
      <c r="U579" s="220"/>
      <c r="V579" s="220"/>
      <c r="W579" s="220"/>
      <c r="X579" s="220"/>
      <c r="Y579" s="220"/>
      <c r="Z579" s="220"/>
      <c r="AA579" s="220"/>
      <c r="AB579" s="220"/>
    </row>
    <row r="580" spans="2:28" x14ac:dyDescent="0.2">
      <c r="B580" s="220"/>
      <c r="C580" s="220"/>
      <c r="D580" s="220"/>
      <c r="E580" s="220"/>
      <c r="F580" s="220"/>
      <c r="G580" s="220"/>
      <c r="H580" s="220"/>
      <c r="I580" s="220"/>
      <c r="J580" s="220"/>
      <c r="K580" s="220"/>
      <c r="L580" s="220"/>
      <c r="M580" s="220"/>
      <c r="N580" s="220"/>
      <c r="O580" s="220"/>
      <c r="P580" s="220"/>
      <c r="Q580" s="220"/>
      <c r="R580" s="220"/>
      <c r="S580" s="220"/>
      <c r="T580" s="220"/>
      <c r="U580" s="220"/>
      <c r="V580" s="220"/>
      <c r="W580" s="220"/>
      <c r="X580" s="220"/>
      <c r="Y580" s="220"/>
      <c r="Z580" s="220"/>
      <c r="AA580" s="220"/>
      <c r="AB580" s="220"/>
    </row>
    <row r="581" spans="2:28" x14ac:dyDescent="0.2">
      <c r="B581" s="221" t="e">
        <f>SUM(T94+T190+T286+T382+T478+T574)</f>
        <v>#VALUE!</v>
      </c>
      <c r="C581" s="221"/>
      <c r="D581" s="221"/>
      <c r="E581" s="221"/>
      <c r="F581" s="221"/>
      <c r="G581" s="221"/>
      <c r="H581" s="221"/>
      <c r="I581" s="221"/>
      <c r="J581" s="221"/>
      <c r="K581" s="221"/>
      <c r="L581" s="221"/>
      <c r="M581" s="221"/>
      <c r="N581" s="221"/>
      <c r="O581" s="221"/>
      <c r="P581" s="221"/>
      <c r="Q581" s="221"/>
      <c r="R581" s="221"/>
      <c r="S581" s="221"/>
      <c r="T581" s="221"/>
      <c r="U581" s="221"/>
      <c r="V581" s="221"/>
      <c r="W581" s="221"/>
      <c r="X581" s="221"/>
      <c r="Y581" s="221"/>
      <c r="Z581" s="221"/>
      <c r="AA581" s="221"/>
      <c r="AB581" s="221"/>
    </row>
    <row r="582" spans="2:28" x14ac:dyDescent="0.2">
      <c r="B582" s="221"/>
      <c r="C582" s="221"/>
      <c r="D582" s="221"/>
      <c r="E582" s="221"/>
      <c r="F582" s="221"/>
      <c r="G582" s="221"/>
      <c r="H582" s="221"/>
      <c r="I582" s="221"/>
      <c r="J582" s="221"/>
      <c r="K582" s="221"/>
      <c r="L582" s="221"/>
      <c r="M582" s="221"/>
      <c r="N582" s="221"/>
      <c r="O582" s="221"/>
      <c r="P582" s="221"/>
      <c r="Q582" s="221"/>
      <c r="R582" s="221"/>
      <c r="S582" s="221"/>
      <c r="T582" s="221"/>
      <c r="U582" s="221"/>
      <c r="V582" s="221"/>
      <c r="W582" s="221"/>
      <c r="X582" s="221"/>
      <c r="Y582" s="221"/>
      <c r="Z582" s="221"/>
      <c r="AA582" s="221"/>
      <c r="AB582" s="221"/>
    </row>
    <row r="583" spans="2:28" ht="21.75" x14ac:dyDescent="0.2">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row>
    <row r="584" spans="2:28" ht="15.75" x14ac:dyDescent="0.2">
      <c r="B584" s="209" t="s">
        <v>142</v>
      </c>
      <c r="C584" s="210"/>
      <c r="D584" s="210"/>
      <c r="E584" s="210"/>
      <c r="F584" s="210"/>
      <c r="G584" s="210"/>
      <c r="H584" s="210"/>
      <c r="I584" s="210"/>
      <c r="J584" s="210"/>
      <c r="K584" s="210"/>
      <c r="L584" s="218" t="e">
        <f>SUM(I93+I189+I285+I381+I477+I573)</f>
        <v>#VALUE!</v>
      </c>
      <c r="M584" s="218"/>
      <c r="N584" s="218"/>
      <c r="O584" s="218"/>
      <c r="P584" s="218"/>
      <c r="Q584" s="218"/>
      <c r="R584" s="218"/>
      <c r="S584" s="218"/>
      <c r="T584" s="218"/>
      <c r="U584" s="218"/>
      <c r="V584" s="218"/>
      <c r="W584" s="218"/>
      <c r="X584" s="218"/>
      <c r="Y584" s="218"/>
      <c r="Z584" s="218"/>
      <c r="AA584" s="218"/>
      <c r="AB584" s="218"/>
    </row>
    <row r="585" spans="2:28" ht="15.75" x14ac:dyDescent="0.2">
      <c r="B585" s="209" t="s">
        <v>143</v>
      </c>
      <c r="C585" s="210"/>
      <c r="D585" s="210"/>
      <c r="E585" s="210"/>
      <c r="F585" s="210"/>
      <c r="G585" s="210"/>
      <c r="H585" s="210"/>
      <c r="I585" s="210"/>
      <c r="J585" s="210"/>
      <c r="K585" s="210"/>
      <c r="L585" s="218" t="e">
        <f>SUM(Q93+Q189+Q285+Q381+Q477+Q573)</f>
        <v>#VALUE!</v>
      </c>
      <c r="M585" s="218"/>
      <c r="N585" s="218"/>
      <c r="O585" s="218"/>
      <c r="P585" s="218"/>
      <c r="Q585" s="218"/>
      <c r="R585" s="218"/>
      <c r="S585" s="218"/>
      <c r="T585" s="218"/>
      <c r="U585" s="218"/>
      <c r="V585" s="218"/>
      <c r="W585" s="218"/>
      <c r="X585" s="218"/>
      <c r="Y585" s="218"/>
      <c r="Z585" s="218"/>
      <c r="AA585" s="218"/>
      <c r="AB585" s="218"/>
    </row>
    <row r="586" spans="2:28" ht="15.75" x14ac:dyDescent="0.2">
      <c r="B586" s="209" t="s">
        <v>145</v>
      </c>
      <c r="C586" s="210"/>
      <c r="D586" s="210"/>
      <c r="E586" s="210"/>
      <c r="F586" s="210"/>
      <c r="G586" s="210"/>
      <c r="H586" s="210"/>
      <c r="I586" s="210"/>
      <c r="J586" s="210"/>
      <c r="K586" s="210"/>
      <c r="L586" s="218" t="e">
        <f>SUM(I94+I190+I286+I382+I478+I574)</f>
        <v>#VALUE!</v>
      </c>
      <c r="M586" s="218"/>
      <c r="N586" s="218"/>
      <c r="O586" s="218"/>
      <c r="P586" s="218"/>
      <c r="Q586" s="218"/>
      <c r="R586" s="218"/>
      <c r="S586" s="218"/>
      <c r="T586" s="218"/>
      <c r="U586" s="218"/>
      <c r="V586" s="218"/>
      <c r="W586" s="218"/>
      <c r="X586" s="218"/>
      <c r="Y586" s="218"/>
      <c r="Z586" s="218"/>
      <c r="AA586" s="218"/>
      <c r="AB586" s="218"/>
    </row>
    <row r="587" spans="2:28" ht="15.75" x14ac:dyDescent="0.2">
      <c r="B587" s="209" t="s">
        <v>146</v>
      </c>
      <c r="C587" s="210"/>
      <c r="D587" s="210"/>
      <c r="E587" s="210"/>
      <c r="F587" s="210"/>
      <c r="G587" s="210"/>
      <c r="H587" s="210"/>
      <c r="I587" s="210"/>
      <c r="J587" s="210"/>
      <c r="K587" s="210"/>
      <c r="L587" s="218" t="e">
        <f>SUM(Q94+Q190+Q286+Q382+Q478+Q574)</f>
        <v>#VALUE!</v>
      </c>
      <c r="M587" s="218"/>
      <c r="N587" s="218"/>
      <c r="O587" s="218"/>
      <c r="P587" s="218"/>
      <c r="Q587" s="218"/>
      <c r="R587" s="218"/>
      <c r="S587" s="218"/>
      <c r="T587" s="218"/>
      <c r="U587" s="218"/>
      <c r="V587" s="218"/>
      <c r="W587" s="218"/>
      <c r="X587" s="218"/>
      <c r="Y587" s="218"/>
      <c r="Z587" s="218"/>
      <c r="AA587" s="218"/>
      <c r="AB587" s="218"/>
    </row>
    <row r="588" spans="2:28" ht="15.75" x14ac:dyDescent="0.2">
      <c r="B588" s="209" t="s">
        <v>147</v>
      </c>
      <c r="C588" s="210"/>
      <c r="D588" s="210"/>
      <c r="E588" s="210"/>
      <c r="F588" s="210"/>
      <c r="G588" s="210"/>
      <c r="H588" s="210"/>
      <c r="I588" s="210"/>
      <c r="J588" s="210"/>
      <c r="K588" s="210"/>
      <c r="L588" s="218" t="e">
        <f>SUM(I95+I191+I287+I383+I479+I575)</f>
        <v>#VALUE!</v>
      </c>
      <c r="M588" s="218"/>
      <c r="N588" s="218"/>
      <c r="O588" s="218"/>
      <c r="P588" s="218"/>
      <c r="Q588" s="218"/>
      <c r="R588" s="218"/>
      <c r="S588" s="218"/>
      <c r="T588" s="218"/>
      <c r="U588" s="218"/>
      <c r="V588" s="218"/>
      <c r="W588" s="218"/>
      <c r="X588" s="218"/>
      <c r="Y588" s="218"/>
      <c r="Z588" s="218"/>
      <c r="AA588" s="218"/>
      <c r="AB588" s="218"/>
    </row>
    <row r="589" spans="2:28" ht="15.75" x14ac:dyDescent="0.2">
      <c r="B589" s="209" t="s">
        <v>148</v>
      </c>
      <c r="C589" s="210"/>
      <c r="D589" s="210"/>
      <c r="E589" s="210"/>
      <c r="F589" s="210"/>
      <c r="G589" s="210"/>
      <c r="H589" s="210"/>
      <c r="I589" s="210"/>
      <c r="J589" s="210"/>
      <c r="K589" s="210"/>
      <c r="L589" s="218">
        <f>SUM(Q95+Q191+Q287+Q383+Q479+Q575)</f>
        <v>17388</v>
      </c>
      <c r="M589" s="218"/>
      <c r="N589" s="218"/>
      <c r="O589" s="218"/>
      <c r="P589" s="218"/>
      <c r="Q589" s="218"/>
      <c r="R589" s="218"/>
      <c r="S589" s="218"/>
      <c r="T589" s="218"/>
      <c r="U589" s="218"/>
      <c r="V589" s="218"/>
      <c r="W589" s="218"/>
      <c r="X589" s="218"/>
      <c r="Y589" s="218"/>
      <c r="Z589" s="218"/>
      <c r="AA589" s="218"/>
      <c r="AB589" s="218"/>
    </row>
    <row r="590" spans="2:28" ht="15.75" x14ac:dyDescent="0.2">
      <c r="B590" s="209" t="s">
        <v>149</v>
      </c>
      <c r="C590" s="210"/>
      <c r="D590" s="210"/>
      <c r="E590" s="210"/>
      <c r="F590" s="210"/>
      <c r="G590" s="210"/>
      <c r="H590" s="210"/>
      <c r="I590" s="210"/>
      <c r="J590" s="210"/>
      <c r="K590" s="210"/>
      <c r="L590" s="218">
        <f>SUM(I96+I192+I288+I384+I480+I576)</f>
        <v>0</v>
      </c>
      <c r="M590" s="218"/>
      <c r="N590" s="218"/>
      <c r="O590" s="218"/>
      <c r="P590" s="218"/>
      <c r="Q590" s="218"/>
      <c r="R590" s="218"/>
      <c r="S590" s="218"/>
      <c r="T590" s="218"/>
      <c r="U590" s="218"/>
      <c r="V590" s="218"/>
      <c r="W590" s="218"/>
      <c r="X590" s="218"/>
      <c r="Y590" s="218"/>
      <c r="Z590" s="218"/>
      <c r="AA590" s="218"/>
      <c r="AB590" s="218"/>
    </row>
    <row r="591" spans="2:28" ht="15.75" x14ac:dyDescent="0.2">
      <c r="B591" s="209" t="s">
        <v>150</v>
      </c>
      <c r="C591" s="210"/>
      <c r="D591" s="210"/>
      <c r="E591" s="210"/>
      <c r="F591" s="210"/>
      <c r="G591" s="210"/>
      <c r="H591" s="210"/>
      <c r="I591" s="210"/>
      <c r="J591" s="210"/>
      <c r="K591" s="210"/>
      <c r="L591" s="218">
        <f>SUM(Q96+Q192+Q288+Q384+Q480+Q576)</f>
        <v>0</v>
      </c>
      <c r="M591" s="218"/>
      <c r="N591" s="218"/>
      <c r="O591" s="218"/>
      <c r="P591" s="218"/>
      <c r="Q591" s="218"/>
      <c r="R591" s="218"/>
      <c r="S591" s="218"/>
      <c r="T591" s="218"/>
      <c r="U591" s="218"/>
      <c r="V591" s="218"/>
      <c r="W591" s="218"/>
      <c r="X591" s="218"/>
      <c r="Y591" s="218"/>
      <c r="Z591" s="218"/>
      <c r="AA591" s="218"/>
      <c r="AB591" s="218"/>
    </row>
    <row r="592" spans="2:28" ht="15.75" x14ac:dyDescent="0.2">
      <c r="B592" s="151"/>
      <c r="C592" s="151"/>
      <c r="D592" s="151"/>
      <c r="E592" s="151"/>
      <c r="F592" s="151"/>
      <c r="G592" s="151"/>
      <c r="H592" s="151"/>
      <c r="I592" s="151"/>
      <c r="J592" s="151"/>
      <c r="K592" s="151"/>
      <c r="L592" s="153"/>
      <c r="M592" s="153"/>
      <c r="N592" s="153"/>
      <c r="O592" s="153"/>
      <c r="P592" s="153"/>
      <c r="Q592" s="153"/>
      <c r="R592" s="153"/>
      <c r="S592" s="153"/>
      <c r="T592" s="153"/>
      <c r="U592" s="153"/>
      <c r="V592" s="153"/>
      <c r="W592" s="153"/>
      <c r="X592" s="153"/>
      <c r="Y592" s="153"/>
      <c r="Z592" s="153"/>
      <c r="AA592" s="153"/>
      <c r="AB592" s="153"/>
    </row>
    <row r="593" spans="2:28" x14ac:dyDescent="0.2">
      <c r="B593" s="125"/>
      <c r="C593" s="125"/>
      <c r="D593" s="125"/>
      <c r="E593" s="125"/>
      <c r="F593" s="125"/>
      <c r="G593" s="125"/>
      <c r="H593" s="125"/>
      <c r="I593" s="125"/>
      <c r="J593" s="125"/>
      <c r="K593" s="125"/>
      <c r="L593" s="40"/>
      <c r="M593" s="40"/>
      <c r="N593" s="40"/>
      <c r="O593" s="40"/>
      <c r="P593" s="40"/>
      <c r="Q593" s="40"/>
      <c r="R593" s="40"/>
      <c r="S593" s="40"/>
      <c r="T593" s="40"/>
      <c r="U593" s="40"/>
      <c r="V593" s="40"/>
      <c r="W593" s="40"/>
      <c r="X593" s="40"/>
      <c r="Y593" s="40"/>
      <c r="Z593" s="40"/>
      <c r="AA593" s="40"/>
      <c r="AB593" s="40"/>
    </row>
    <row r="594" spans="2:28" ht="15.75" x14ac:dyDescent="0.2">
      <c r="B594" s="209" t="s">
        <v>173</v>
      </c>
      <c r="C594" s="210"/>
      <c r="D594" s="210"/>
      <c r="E594" s="210"/>
      <c r="F594" s="210"/>
      <c r="G594" s="210"/>
      <c r="H594" s="210"/>
      <c r="I594" s="210"/>
      <c r="J594" s="210"/>
      <c r="K594" s="210"/>
      <c r="L594" s="217">
        <f>SUM(T94)</f>
        <v>30710</v>
      </c>
      <c r="M594" s="217"/>
      <c r="N594" s="217"/>
      <c r="O594" s="217"/>
      <c r="P594" s="217"/>
      <c r="Q594" s="217"/>
      <c r="R594" s="217"/>
      <c r="S594" s="217"/>
      <c r="T594" s="217"/>
      <c r="U594" s="217"/>
      <c r="V594" s="217"/>
      <c r="W594" s="217"/>
      <c r="X594" s="217"/>
      <c r="Y594" s="217"/>
      <c r="Z594" s="217"/>
      <c r="AA594" s="217"/>
      <c r="AB594" s="217"/>
    </row>
    <row r="595" spans="2:28" ht="15.75" x14ac:dyDescent="0.2">
      <c r="B595" s="209" t="s">
        <v>174</v>
      </c>
      <c r="C595" s="210"/>
      <c r="D595" s="210"/>
      <c r="E595" s="210"/>
      <c r="F595" s="210"/>
      <c r="G595" s="210"/>
      <c r="H595" s="210"/>
      <c r="I595" s="210"/>
      <c r="J595" s="210"/>
      <c r="K595" s="210"/>
      <c r="L595" s="217">
        <f>SUM(T190)</f>
        <v>34114</v>
      </c>
      <c r="M595" s="217"/>
      <c r="N595" s="217"/>
      <c r="O595" s="217"/>
      <c r="P595" s="217"/>
      <c r="Q595" s="217"/>
      <c r="R595" s="217"/>
      <c r="S595" s="217"/>
      <c r="T595" s="217"/>
      <c r="U595" s="217"/>
      <c r="V595" s="217"/>
      <c r="W595" s="217"/>
      <c r="X595" s="217"/>
      <c r="Y595" s="217"/>
      <c r="Z595" s="217"/>
      <c r="AA595" s="217"/>
      <c r="AB595" s="217"/>
    </row>
    <row r="596" spans="2:28" ht="15.75" x14ac:dyDescent="0.2">
      <c r="B596" s="209" t="s">
        <v>175</v>
      </c>
      <c r="C596" s="210"/>
      <c r="D596" s="210"/>
      <c r="E596" s="210"/>
      <c r="F596" s="210"/>
      <c r="G596" s="210"/>
      <c r="H596" s="210"/>
      <c r="I596" s="210"/>
      <c r="J596" s="210"/>
      <c r="K596" s="210"/>
      <c r="L596" s="217" t="e">
        <f>SUM(T286)</f>
        <v>#VALUE!</v>
      </c>
      <c r="M596" s="217"/>
      <c r="N596" s="217"/>
      <c r="O596" s="217"/>
      <c r="P596" s="217"/>
      <c r="Q596" s="217"/>
      <c r="R596" s="217"/>
      <c r="S596" s="217"/>
      <c r="T596" s="217"/>
      <c r="U596" s="217"/>
      <c r="V596" s="217"/>
      <c r="W596" s="217"/>
      <c r="X596" s="217"/>
      <c r="Y596" s="217"/>
      <c r="Z596" s="217"/>
      <c r="AA596" s="217"/>
      <c r="AB596" s="217"/>
    </row>
    <row r="597" spans="2:28" ht="15.75" x14ac:dyDescent="0.2">
      <c r="B597" s="209" t="s">
        <v>176</v>
      </c>
      <c r="C597" s="210"/>
      <c r="D597" s="210"/>
      <c r="E597" s="210"/>
      <c r="F597" s="210"/>
      <c r="G597" s="210"/>
      <c r="H597" s="210"/>
      <c r="I597" s="210"/>
      <c r="J597" s="210"/>
      <c r="K597" s="210"/>
      <c r="L597" s="217">
        <f>SUM(T382)</f>
        <v>18804</v>
      </c>
      <c r="M597" s="217"/>
      <c r="N597" s="217"/>
      <c r="O597" s="217"/>
      <c r="P597" s="217"/>
      <c r="Q597" s="217"/>
      <c r="R597" s="217"/>
      <c r="S597" s="217"/>
      <c r="T597" s="217"/>
      <c r="U597" s="217"/>
      <c r="V597" s="217"/>
      <c r="W597" s="217"/>
      <c r="X597" s="217"/>
      <c r="Y597" s="217"/>
      <c r="Z597" s="217"/>
      <c r="AA597" s="217"/>
      <c r="AB597" s="217"/>
    </row>
    <row r="598" spans="2:28" ht="15.75" x14ac:dyDescent="0.2">
      <c r="B598" s="209" t="s">
        <v>177</v>
      </c>
      <c r="C598" s="210"/>
      <c r="D598" s="210"/>
      <c r="E598" s="210"/>
      <c r="F598" s="210"/>
      <c r="G598" s="210"/>
      <c r="H598" s="210"/>
      <c r="I598" s="210"/>
      <c r="J598" s="210"/>
      <c r="K598" s="210"/>
      <c r="L598" s="217">
        <f>SUM(T478)</f>
        <v>0</v>
      </c>
      <c r="M598" s="217"/>
      <c r="N598" s="217"/>
      <c r="O598" s="217"/>
      <c r="P598" s="217"/>
      <c r="Q598" s="217"/>
      <c r="R598" s="217"/>
      <c r="S598" s="217"/>
      <c r="T598" s="217"/>
      <c r="U598" s="217"/>
      <c r="V598" s="217"/>
      <c r="W598" s="217"/>
      <c r="X598" s="217"/>
      <c r="Y598" s="217"/>
      <c r="Z598" s="217"/>
      <c r="AA598" s="217"/>
      <c r="AB598" s="217"/>
    </row>
    <row r="599" spans="2:28" ht="15.75" x14ac:dyDescent="0.2">
      <c r="B599" s="209" t="s">
        <v>178</v>
      </c>
      <c r="C599" s="210"/>
      <c r="D599" s="210"/>
      <c r="E599" s="210"/>
      <c r="F599" s="210"/>
      <c r="G599" s="210"/>
      <c r="H599" s="210"/>
      <c r="I599" s="210"/>
      <c r="J599" s="210"/>
      <c r="K599" s="210"/>
      <c r="L599" s="217">
        <f>SUM(T574)</f>
        <v>0</v>
      </c>
      <c r="M599" s="217"/>
      <c r="N599" s="217"/>
      <c r="O599" s="217"/>
      <c r="P599" s="217"/>
      <c r="Q599" s="217"/>
      <c r="R599" s="217"/>
      <c r="S599" s="217"/>
      <c r="T599" s="217"/>
      <c r="U599" s="217"/>
      <c r="V599" s="217"/>
      <c r="W599" s="217"/>
      <c r="X599" s="217"/>
      <c r="Y599" s="217"/>
      <c r="Z599" s="217"/>
      <c r="AA599" s="217"/>
      <c r="AB599" s="217"/>
    </row>
    <row r="601" spans="2:28" x14ac:dyDescent="0.2">
      <c r="B601" s="127" t="s">
        <v>179</v>
      </c>
    </row>
    <row r="602" spans="2:28" x14ac:dyDescent="0.2">
      <c r="B602" s="127" t="e">
        <f>B581</f>
        <v>#VALUE!</v>
      </c>
    </row>
    <row r="604" spans="2:28" ht="18" x14ac:dyDescent="0.2">
      <c r="B604" s="200" t="s">
        <v>180</v>
      </c>
      <c r="C604" s="201"/>
      <c r="D604" s="201"/>
    </row>
    <row r="605" spans="2:28" ht="18" x14ac:dyDescent="0.2">
      <c r="B605" s="200" t="s">
        <v>32</v>
      </c>
      <c r="C605" s="201"/>
      <c r="D605" s="128">
        <f>SUMIFS(Formula!B:B,Formula!A:A,"*^Squat*")</f>
        <v>5620</v>
      </c>
    </row>
    <row r="606" spans="2:28" ht="18" x14ac:dyDescent="0.2">
      <c r="B606" s="200" t="s">
        <v>33</v>
      </c>
      <c r="C606" s="201"/>
      <c r="D606" s="128">
        <f>SUMIFS(Formula!B:B,Formula!A:A,"*^Bench*")</f>
        <v>4490</v>
      </c>
    </row>
    <row r="607" spans="2:28" ht="18" x14ac:dyDescent="0.2">
      <c r="B607" s="200" t="s">
        <v>34</v>
      </c>
      <c r="C607" s="201"/>
      <c r="D607" s="128">
        <f>SUMIFS(Formula!B:B,Formula!A:A,"*^Deadlift*")</f>
        <v>6060</v>
      </c>
    </row>
    <row r="642" spans="2:28" s="23" customFormat="1" x14ac:dyDescent="0.2">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row>
  </sheetData>
  <mergeCells count="624">
    <mergeCell ref="B95:H95"/>
    <mergeCell ref="B96:H96"/>
    <mergeCell ref="L95:P95"/>
    <mergeCell ref="L96:P96"/>
    <mergeCell ref="I95:K95"/>
    <mergeCell ref="I96:K96"/>
    <mergeCell ref="Q95:S95"/>
    <mergeCell ref="Q96:S96"/>
    <mergeCell ref="B589:K589"/>
    <mergeCell ref="L589:AB589"/>
    <mergeCell ref="B287:H287"/>
    <mergeCell ref="B288:H288"/>
    <mergeCell ref="L287:P287"/>
    <mergeCell ref="L288:P288"/>
    <mergeCell ref="I287:K287"/>
    <mergeCell ref="I288:K288"/>
    <mergeCell ref="Q287:S287"/>
    <mergeCell ref="Q288:S288"/>
    <mergeCell ref="B192:H192"/>
    <mergeCell ref="L191:P191"/>
    <mergeCell ref="L192:P192"/>
    <mergeCell ref="I191:K191"/>
    <mergeCell ref="I192:K192"/>
    <mergeCell ref="Q191:S191"/>
    <mergeCell ref="Q192:S192"/>
    <mergeCell ref="B479:H479"/>
    <mergeCell ref="L479:P479"/>
    <mergeCell ref="I479:K479"/>
    <mergeCell ref="Q479:S479"/>
    <mergeCell ref="B218:H218"/>
    <mergeCell ref="I218:K218"/>
    <mergeCell ref="L218:N218"/>
    <mergeCell ref="O218:Q218"/>
    <mergeCell ref="R218:T218"/>
    <mergeCell ref="B262:H262"/>
    <mergeCell ref="I262:K262"/>
    <mergeCell ref="L262:N262"/>
    <mergeCell ref="O262:Q262"/>
    <mergeCell ref="R262:T262"/>
    <mergeCell ref="B285:H285"/>
    <mergeCell ref="I285:K285"/>
    <mergeCell ref="B292:H292"/>
    <mergeCell ref="I292:K292"/>
    <mergeCell ref="L292:N292"/>
    <mergeCell ref="O292:Q292"/>
    <mergeCell ref="R292:T292"/>
    <mergeCell ref="R314:T314"/>
    <mergeCell ref="R358:T358"/>
    <mergeCell ref="X37:Z37"/>
    <mergeCell ref="AA37:AA39"/>
    <mergeCell ref="AB37:AB39"/>
    <mergeCell ref="L285:P285"/>
    <mergeCell ref="Q285:S285"/>
    <mergeCell ref="B480:H480"/>
    <mergeCell ref="L480:P480"/>
    <mergeCell ref="I480:K480"/>
    <mergeCell ref="Q480:S480"/>
    <mergeCell ref="B383:H383"/>
    <mergeCell ref="B384:H384"/>
    <mergeCell ref="L383:P383"/>
    <mergeCell ref="L384:P384"/>
    <mergeCell ref="I383:K383"/>
    <mergeCell ref="I384:K384"/>
    <mergeCell ref="Q383:S383"/>
    <mergeCell ref="Q384:S384"/>
    <mergeCell ref="B410:H410"/>
    <mergeCell ref="I410:K410"/>
    <mergeCell ref="L410:N410"/>
    <mergeCell ref="O410:Q410"/>
    <mergeCell ref="R410:T410"/>
    <mergeCell ref="B454:H454"/>
    <mergeCell ref="I454:K454"/>
    <mergeCell ref="X48:Z48"/>
    <mergeCell ref="AA48:AA50"/>
    <mergeCell ref="AB48:AB50"/>
    <mergeCell ref="B477:H477"/>
    <mergeCell ref="I477:K477"/>
    <mergeCell ref="AA15:AA17"/>
    <mergeCell ref="AB15:AB17"/>
    <mergeCell ref="B1:AB3"/>
    <mergeCell ref="B15:H15"/>
    <mergeCell ref="I15:K15"/>
    <mergeCell ref="L15:N15"/>
    <mergeCell ref="O15:Q15"/>
    <mergeCell ref="R15:T15"/>
    <mergeCell ref="U15:W15"/>
    <mergeCell ref="X15:Z15"/>
    <mergeCell ref="X26:Z26"/>
    <mergeCell ref="AA26:AA28"/>
    <mergeCell ref="AB26:AB28"/>
    <mergeCell ref="B37:H37"/>
    <mergeCell ref="I37:K37"/>
    <mergeCell ref="L37:N37"/>
    <mergeCell ref="O37:Q37"/>
    <mergeCell ref="R37:T37"/>
    <mergeCell ref="U37:W37"/>
    <mergeCell ref="B48:H48"/>
    <mergeCell ref="I48:K48"/>
    <mergeCell ref="L48:N48"/>
    <mergeCell ref="O48:Q48"/>
    <mergeCell ref="R48:T48"/>
    <mergeCell ref="U48:W48"/>
    <mergeCell ref="B26:H26"/>
    <mergeCell ref="I26:K26"/>
    <mergeCell ref="L26:N26"/>
    <mergeCell ref="O26:Q26"/>
    <mergeCell ref="R26:T26"/>
    <mergeCell ref="U26:W26"/>
    <mergeCell ref="I70:K70"/>
    <mergeCell ref="L70:N70"/>
    <mergeCell ref="O70:Q70"/>
    <mergeCell ref="R70:T70"/>
    <mergeCell ref="U70:W70"/>
    <mergeCell ref="X70:Z70"/>
    <mergeCell ref="AA70:AA72"/>
    <mergeCell ref="AB70:AB72"/>
    <mergeCell ref="B59:H59"/>
    <mergeCell ref="I59:K59"/>
    <mergeCell ref="L59:N59"/>
    <mergeCell ref="O59:Q59"/>
    <mergeCell ref="R59:T59"/>
    <mergeCell ref="U59:W59"/>
    <mergeCell ref="X59:Z59"/>
    <mergeCell ref="AA111:AA113"/>
    <mergeCell ref="AB111:AB113"/>
    <mergeCell ref="B112:H112"/>
    <mergeCell ref="B93:H93"/>
    <mergeCell ref="I93:K93"/>
    <mergeCell ref="L93:P93"/>
    <mergeCell ref="Q93:S93"/>
    <mergeCell ref="T93:AB93"/>
    <mergeCell ref="B94:H94"/>
    <mergeCell ref="I94:K94"/>
    <mergeCell ref="L94:P94"/>
    <mergeCell ref="Q94:S94"/>
    <mergeCell ref="T94:AB94"/>
    <mergeCell ref="B111:H111"/>
    <mergeCell ref="I111:K111"/>
    <mergeCell ref="L111:N111"/>
    <mergeCell ref="O111:Q111"/>
    <mergeCell ref="R111:T111"/>
    <mergeCell ref="U111:W111"/>
    <mergeCell ref="X111:Z111"/>
    <mergeCell ref="B100:H100"/>
    <mergeCell ref="I100:K100"/>
    <mergeCell ref="L100:N100"/>
    <mergeCell ref="O100:Q100"/>
    <mergeCell ref="R100:T100"/>
    <mergeCell ref="U100:W100"/>
    <mergeCell ref="B122:H122"/>
    <mergeCell ref="I122:K122"/>
    <mergeCell ref="L122:N122"/>
    <mergeCell ref="O122:Q122"/>
    <mergeCell ref="R122:T122"/>
    <mergeCell ref="U122:W122"/>
    <mergeCell ref="X122:Z122"/>
    <mergeCell ref="AA122:AA124"/>
    <mergeCell ref="AB122:AB124"/>
    <mergeCell ref="B123:H123"/>
    <mergeCell ref="B144:H144"/>
    <mergeCell ref="I144:K144"/>
    <mergeCell ref="L144:N144"/>
    <mergeCell ref="O144:Q144"/>
    <mergeCell ref="R144:T144"/>
    <mergeCell ref="U144:W144"/>
    <mergeCell ref="B155:H155"/>
    <mergeCell ref="AA166:AA168"/>
    <mergeCell ref="AA155:AA157"/>
    <mergeCell ref="AB155:AB157"/>
    <mergeCell ref="B133:H133"/>
    <mergeCell ref="I133:K133"/>
    <mergeCell ref="L133:N133"/>
    <mergeCell ref="O133:Q133"/>
    <mergeCell ref="R133:T133"/>
    <mergeCell ref="U133:W133"/>
    <mergeCell ref="X133:Z133"/>
    <mergeCell ref="AA133:AA135"/>
    <mergeCell ref="AB133:AB135"/>
    <mergeCell ref="X144:Z144"/>
    <mergeCell ref="AA144:AA146"/>
    <mergeCell ref="AB144:AB146"/>
    <mergeCell ref="I155:K155"/>
    <mergeCell ref="L155:N155"/>
    <mergeCell ref="O155:Q155"/>
    <mergeCell ref="R155:T155"/>
    <mergeCell ref="U155:W155"/>
    <mergeCell ref="X155:Z155"/>
    <mergeCell ref="AB166:AB168"/>
    <mergeCell ref="B166:H166"/>
    <mergeCell ref="I166:K166"/>
    <mergeCell ref="L166:N166"/>
    <mergeCell ref="O166:Q166"/>
    <mergeCell ref="R166:T166"/>
    <mergeCell ref="U166:W166"/>
    <mergeCell ref="X166:Z166"/>
    <mergeCell ref="B189:H189"/>
    <mergeCell ref="I189:K189"/>
    <mergeCell ref="L189:P189"/>
    <mergeCell ref="Q189:S189"/>
    <mergeCell ref="T189:AB189"/>
    <mergeCell ref="B177:H177"/>
    <mergeCell ref="I177:K177"/>
    <mergeCell ref="L177:N177"/>
    <mergeCell ref="O177:Q177"/>
    <mergeCell ref="R177:T177"/>
    <mergeCell ref="U177:W177"/>
    <mergeCell ref="X177:Z177"/>
    <mergeCell ref="AA177:AA179"/>
    <mergeCell ref="AB177:AB179"/>
    <mergeCell ref="B190:H190"/>
    <mergeCell ref="I190:K190"/>
    <mergeCell ref="L190:P190"/>
    <mergeCell ref="Q190:S190"/>
    <mergeCell ref="T190:AB190"/>
    <mergeCell ref="X196:Z196"/>
    <mergeCell ref="AA196:AA198"/>
    <mergeCell ref="AB196:AB198"/>
    <mergeCell ref="B207:H207"/>
    <mergeCell ref="I207:K207"/>
    <mergeCell ref="L207:N207"/>
    <mergeCell ref="O207:Q207"/>
    <mergeCell ref="R207:T207"/>
    <mergeCell ref="U207:W207"/>
    <mergeCell ref="X207:Z207"/>
    <mergeCell ref="B196:H196"/>
    <mergeCell ref="I196:K196"/>
    <mergeCell ref="L196:N196"/>
    <mergeCell ref="O196:Q196"/>
    <mergeCell ref="R196:T196"/>
    <mergeCell ref="U196:W196"/>
    <mergeCell ref="AA207:AA209"/>
    <mergeCell ref="AB207:AB209"/>
    <mergeCell ref="B191:H191"/>
    <mergeCell ref="U218:W218"/>
    <mergeCell ref="X218:Z218"/>
    <mergeCell ref="AA218:AA220"/>
    <mergeCell ref="AB218:AB220"/>
    <mergeCell ref="B229:H229"/>
    <mergeCell ref="I229:K229"/>
    <mergeCell ref="L229:N229"/>
    <mergeCell ref="O229:Q229"/>
    <mergeCell ref="R229:T229"/>
    <mergeCell ref="U229:W229"/>
    <mergeCell ref="X229:Z229"/>
    <mergeCell ref="AA229:AA231"/>
    <mergeCell ref="AB229:AB231"/>
    <mergeCell ref="X240:Z240"/>
    <mergeCell ref="AA240:AA242"/>
    <mergeCell ref="AB240:AB242"/>
    <mergeCell ref="B251:H251"/>
    <mergeCell ref="I251:K251"/>
    <mergeCell ref="L251:N251"/>
    <mergeCell ref="O251:Q251"/>
    <mergeCell ref="R251:T251"/>
    <mergeCell ref="U251:W251"/>
    <mergeCell ref="X251:Z251"/>
    <mergeCell ref="I240:K240"/>
    <mergeCell ref="L240:N240"/>
    <mergeCell ref="O240:Q240"/>
    <mergeCell ref="R240:T240"/>
    <mergeCell ref="U240:W240"/>
    <mergeCell ref="AA251:AA253"/>
    <mergeCell ref="AB251:AB253"/>
    <mergeCell ref="B240:H240"/>
    <mergeCell ref="B241:H241"/>
    <mergeCell ref="B252:H252"/>
    <mergeCell ref="U262:W262"/>
    <mergeCell ref="X262:Z262"/>
    <mergeCell ref="AA262:AA264"/>
    <mergeCell ref="AB262:AB264"/>
    <mergeCell ref="B273:H273"/>
    <mergeCell ref="I273:K273"/>
    <mergeCell ref="L273:N273"/>
    <mergeCell ref="O273:Q273"/>
    <mergeCell ref="R273:T273"/>
    <mergeCell ref="U273:W273"/>
    <mergeCell ref="X273:Z273"/>
    <mergeCell ref="AA273:AA275"/>
    <mergeCell ref="AB273:AB275"/>
    <mergeCell ref="B263:H263"/>
    <mergeCell ref="B274:H274"/>
    <mergeCell ref="U292:W292"/>
    <mergeCell ref="T285:AB285"/>
    <mergeCell ref="B286:H286"/>
    <mergeCell ref="I286:K286"/>
    <mergeCell ref="L286:P286"/>
    <mergeCell ref="Q286:S286"/>
    <mergeCell ref="T286:AB286"/>
    <mergeCell ref="X292:Z292"/>
    <mergeCell ref="AA292:AA294"/>
    <mergeCell ref="AB292:AB294"/>
    <mergeCell ref="B293:H293"/>
    <mergeCell ref="U314:W314"/>
    <mergeCell ref="X314:Z314"/>
    <mergeCell ref="AA314:AA316"/>
    <mergeCell ref="AB314:AB316"/>
    <mergeCell ref="B303:H303"/>
    <mergeCell ref="I303:K303"/>
    <mergeCell ref="L303:N303"/>
    <mergeCell ref="O303:Q303"/>
    <mergeCell ref="R303:T303"/>
    <mergeCell ref="U303:W303"/>
    <mergeCell ref="X303:Z303"/>
    <mergeCell ref="B304:H304"/>
    <mergeCell ref="B315:H315"/>
    <mergeCell ref="O314:Q314"/>
    <mergeCell ref="B432:H432"/>
    <mergeCell ref="U358:W358"/>
    <mergeCell ref="X358:Z358"/>
    <mergeCell ref="AA358:AA360"/>
    <mergeCell ref="AB358:AB360"/>
    <mergeCell ref="B347:H347"/>
    <mergeCell ref="B336:H336"/>
    <mergeCell ref="I336:K336"/>
    <mergeCell ref="L336:N336"/>
    <mergeCell ref="O336:Q336"/>
    <mergeCell ref="R336:T336"/>
    <mergeCell ref="U336:W336"/>
    <mergeCell ref="AA347:AA349"/>
    <mergeCell ref="AB347:AB349"/>
    <mergeCell ref="X336:Z336"/>
    <mergeCell ref="AA336:AA338"/>
    <mergeCell ref="AB336:AB338"/>
    <mergeCell ref="I347:K347"/>
    <mergeCell ref="L347:N347"/>
    <mergeCell ref="O347:Q347"/>
    <mergeCell ref="R347:T347"/>
    <mergeCell ref="B337:H337"/>
    <mergeCell ref="B359:H359"/>
    <mergeCell ref="X388:Z388"/>
    <mergeCell ref="AA388:AA390"/>
    <mergeCell ref="AB388:AB390"/>
    <mergeCell ref="B399:H399"/>
    <mergeCell ref="I399:K399"/>
    <mergeCell ref="L399:N399"/>
    <mergeCell ref="O399:Q399"/>
    <mergeCell ref="R399:T399"/>
    <mergeCell ref="U399:W399"/>
    <mergeCell ref="X399:Z399"/>
    <mergeCell ref="B388:H388"/>
    <mergeCell ref="I388:K388"/>
    <mergeCell ref="L388:N388"/>
    <mergeCell ref="O388:Q388"/>
    <mergeCell ref="R388:T388"/>
    <mergeCell ref="U388:W388"/>
    <mergeCell ref="AA399:AA401"/>
    <mergeCell ref="AB399:AB401"/>
    <mergeCell ref="I432:K432"/>
    <mergeCell ref="L432:N432"/>
    <mergeCell ref="O432:Q432"/>
    <mergeCell ref="R432:T432"/>
    <mergeCell ref="U432:W432"/>
    <mergeCell ref="AA443:AA445"/>
    <mergeCell ref="AB443:AB445"/>
    <mergeCell ref="U410:W410"/>
    <mergeCell ref="X410:Z410"/>
    <mergeCell ref="AA410:AA412"/>
    <mergeCell ref="AB410:AB412"/>
    <mergeCell ref="X432:Z432"/>
    <mergeCell ref="AA432:AA434"/>
    <mergeCell ref="AB432:AB434"/>
    <mergeCell ref="L443:N443"/>
    <mergeCell ref="O443:Q443"/>
    <mergeCell ref="R443:T443"/>
    <mergeCell ref="U443:W443"/>
    <mergeCell ref="X443:Z443"/>
    <mergeCell ref="B421:H421"/>
    <mergeCell ref="I421:K421"/>
    <mergeCell ref="L421:N421"/>
    <mergeCell ref="O421:Q421"/>
    <mergeCell ref="R421:T421"/>
    <mergeCell ref="U421:W421"/>
    <mergeCell ref="X421:Z421"/>
    <mergeCell ref="AA421:AA423"/>
    <mergeCell ref="AB421:AB423"/>
    <mergeCell ref="AB454:AB456"/>
    <mergeCell ref="B465:H465"/>
    <mergeCell ref="I465:K465"/>
    <mergeCell ref="L465:N465"/>
    <mergeCell ref="O465:Q465"/>
    <mergeCell ref="R465:T465"/>
    <mergeCell ref="U465:W465"/>
    <mergeCell ref="X465:Z465"/>
    <mergeCell ref="AA465:AA467"/>
    <mergeCell ref="AB465:AB467"/>
    <mergeCell ref="L454:N454"/>
    <mergeCell ref="O454:Q454"/>
    <mergeCell ref="R454:T454"/>
    <mergeCell ref="U454:W454"/>
    <mergeCell ref="X454:Z454"/>
    <mergeCell ref="AA454:AA456"/>
    <mergeCell ref="L590:AB590"/>
    <mergeCell ref="L591:AB591"/>
    <mergeCell ref="L477:P477"/>
    <mergeCell ref="Q477:S477"/>
    <mergeCell ref="T477:AB477"/>
    <mergeCell ref="B478:H478"/>
    <mergeCell ref="I478:K478"/>
    <mergeCell ref="L478:P478"/>
    <mergeCell ref="Q478:S478"/>
    <mergeCell ref="T478:AB478"/>
    <mergeCell ref="B586:K586"/>
    <mergeCell ref="L586:AB586"/>
    <mergeCell ref="B481:AB483"/>
    <mergeCell ref="B484:H484"/>
    <mergeCell ref="I484:K484"/>
    <mergeCell ref="L484:N484"/>
    <mergeCell ref="O484:Q484"/>
    <mergeCell ref="R484:T484"/>
    <mergeCell ref="U484:W484"/>
    <mergeCell ref="X484:Z484"/>
    <mergeCell ref="AA484:AA486"/>
    <mergeCell ref="AB484:AB486"/>
    <mergeCell ref="B495:H495"/>
    <mergeCell ref="U495:W495"/>
    <mergeCell ref="L369:N369"/>
    <mergeCell ref="B598:K598"/>
    <mergeCell ref="L598:AB598"/>
    <mergeCell ref="B599:K599"/>
    <mergeCell ref="L599:AB599"/>
    <mergeCell ref="B595:K595"/>
    <mergeCell ref="L595:AB595"/>
    <mergeCell ref="B596:K596"/>
    <mergeCell ref="L596:AB596"/>
    <mergeCell ref="B597:K597"/>
    <mergeCell ref="L597:AB597"/>
    <mergeCell ref="B587:K587"/>
    <mergeCell ref="L587:AB587"/>
    <mergeCell ref="B594:K594"/>
    <mergeCell ref="L594:AB594"/>
    <mergeCell ref="B579:AB580"/>
    <mergeCell ref="B581:AB582"/>
    <mergeCell ref="B584:K584"/>
    <mergeCell ref="L584:AB584"/>
    <mergeCell ref="B585:K585"/>
    <mergeCell ref="L585:AB585"/>
    <mergeCell ref="B588:K588"/>
    <mergeCell ref="L588:AB588"/>
    <mergeCell ref="B590:K590"/>
    <mergeCell ref="B4:H4"/>
    <mergeCell ref="I4:K4"/>
    <mergeCell ref="L4:N4"/>
    <mergeCell ref="O4:Q4"/>
    <mergeCell ref="R4:T4"/>
    <mergeCell ref="U4:W4"/>
    <mergeCell ref="X4:Z4"/>
    <mergeCell ref="B381:H381"/>
    <mergeCell ref="I381:K381"/>
    <mergeCell ref="L381:P381"/>
    <mergeCell ref="Q381:S381"/>
    <mergeCell ref="T381:AB381"/>
    <mergeCell ref="U347:W347"/>
    <mergeCell ref="X347:Z347"/>
    <mergeCell ref="O369:Q369"/>
    <mergeCell ref="R369:T369"/>
    <mergeCell ref="U369:W369"/>
    <mergeCell ref="X369:Z369"/>
    <mergeCell ref="AA369:AA371"/>
    <mergeCell ref="AB369:AB371"/>
    <mergeCell ref="B358:H358"/>
    <mergeCell ref="I358:K358"/>
    <mergeCell ref="L358:N358"/>
    <mergeCell ref="O358:Q358"/>
    <mergeCell ref="X495:Z495"/>
    <mergeCell ref="AA495:AA497"/>
    <mergeCell ref="AB495:AB497"/>
    <mergeCell ref="I506:K506"/>
    <mergeCell ref="L506:N506"/>
    <mergeCell ref="O506:Q506"/>
    <mergeCell ref="R506:T506"/>
    <mergeCell ref="U506:W506"/>
    <mergeCell ref="X506:Z506"/>
    <mergeCell ref="AA506:AA508"/>
    <mergeCell ref="AB506:AB508"/>
    <mergeCell ref="R495:T495"/>
    <mergeCell ref="I495:K495"/>
    <mergeCell ref="L495:N495"/>
    <mergeCell ref="O495:Q495"/>
    <mergeCell ref="L517:N517"/>
    <mergeCell ref="O517:Q517"/>
    <mergeCell ref="R517:T517"/>
    <mergeCell ref="U517:W517"/>
    <mergeCell ref="X517:Z517"/>
    <mergeCell ref="AA517:AA519"/>
    <mergeCell ref="AB517:AB519"/>
    <mergeCell ref="L528:N528"/>
    <mergeCell ref="O528:Q528"/>
    <mergeCell ref="R528:T528"/>
    <mergeCell ref="AB539:AB541"/>
    <mergeCell ref="B540:H540"/>
    <mergeCell ref="B551:H551"/>
    <mergeCell ref="U528:W528"/>
    <mergeCell ref="X528:Z528"/>
    <mergeCell ref="AA528:AA530"/>
    <mergeCell ref="AB528:AB530"/>
    <mergeCell ref="U550:W550"/>
    <mergeCell ref="X550:Z550"/>
    <mergeCell ref="AA550:AA552"/>
    <mergeCell ref="AB550:AB552"/>
    <mergeCell ref="B539:H539"/>
    <mergeCell ref="I539:K539"/>
    <mergeCell ref="L539:N539"/>
    <mergeCell ref="B550:H550"/>
    <mergeCell ref="I550:K550"/>
    <mergeCell ref="L550:N550"/>
    <mergeCell ref="O550:Q550"/>
    <mergeCell ref="R550:T550"/>
    <mergeCell ref="B528:H528"/>
    <mergeCell ref="I528:K528"/>
    <mergeCell ref="R539:T539"/>
    <mergeCell ref="U539:W539"/>
    <mergeCell ref="X539:Z539"/>
    <mergeCell ref="L561:N561"/>
    <mergeCell ref="O561:Q561"/>
    <mergeCell ref="R561:T561"/>
    <mergeCell ref="U561:W561"/>
    <mergeCell ref="X561:Z561"/>
    <mergeCell ref="AA561:AA563"/>
    <mergeCell ref="AB561:AB563"/>
    <mergeCell ref="B562:H562"/>
    <mergeCell ref="B575:H575"/>
    <mergeCell ref="I575:K575"/>
    <mergeCell ref="L575:P575"/>
    <mergeCell ref="Q575:S575"/>
    <mergeCell ref="T573:AB573"/>
    <mergeCell ref="B574:H574"/>
    <mergeCell ref="I574:K574"/>
    <mergeCell ref="L574:P574"/>
    <mergeCell ref="Q574:S574"/>
    <mergeCell ref="T574:AB574"/>
    <mergeCell ref="AA539:AA541"/>
    <mergeCell ref="I576:K576"/>
    <mergeCell ref="L576:P576"/>
    <mergeCell ref="Q576:S576"/>
    <mergeCell ref="B573:H573"/>
    <mergeCell ref="I573:K573"/>
    <mergeCell ref="L573:P573"/>
    <mergeCell ref="Q573:S573"/>
    <mergeCell ref="B5:H5"/>
    <mergeCell ref="B16:H16"/>
    <mergeCell ref="B27:H27"/>
    <mergeCell ref="B38:H38"/>
    <mergeCell ref="B49:H49"/>
    <mergeCell ref="B60:H60"/>
    <mergeCell ref="B71:H71"/>
    <mergeCell ref="B82:H82"/>
    <mergeCell ref="B101:H101"/>
    <mergeCell ref="B97:AB99"/>
    <mergeCell ref="X100:Z100"/>
    <mergeCell ref="AB100:AB102"/>
    <mergeCell ref="B81:H81"/>
    <mergeCell ref="I81:K81"/>
    <mergeCell ref="L81:N81"/>
    <mergeCell ref="O81:Q81"/>
    <mergeCell ref="O539:Q539"/>
    <mergeCell ref="R81:T81"/>
    <mergeCell ref="U81:W81"/>
    <mergeCell ref="X81:Z81"/>
    <mergeCell ref="AA81:AA83"/>
    <mergeCell ref="AB81:AB83"/>
    <mergeCell ref="AA59:AA61"/>
    <mergeCell ref="AB59:AB61"/>
    <mergeCell ref="B70:H70"/>
    <mergeCell ref="B326:H326"/>
    <mergeCell ref="B325:H325"/>
    <mergeCell ref="I325:K325"/>
    <mergeCell ref="L325:N325"/>
    <mergeCell ref="O325:Q325"/>
    <mergeCell ref="R325:T325"/>
    <mergeCell ref="U325:W325"/>
    <mergeCell ref="X325:Z325"/>
    <mergeCell ref="AA325:AA327"/>
    <mergeCell ref="AB325:AB327"/>
    <mergeCell ref="AA303:AA305"/>
    <mergeCell ref="AB303:AB305"/>
    <mergeCell ref="B314:H314"/>
    <mergeCell ref="I314:K314"/>
    <mergeCell ref="L314:N314"/>
    <mergeCell ref="B370:H370"/>
    <mergeCell ref="B389:H389"/>
    <mergeCell ref="B400:H400"/>
    <mergeCell ref="B411:H411"/>
    <mergeCell ref="B422:H422"/>
    <mergeCell ref="B134:H134"/>
    <mergeCell ref="B145:H145"/>
    <mergeCell ref="B156:H156"/>
    <mergeCell ref="B167:H167"/>
    <mergeCell ref="B178:H178"/>
    <mergeCell ref="B197:H197"/>
    <mergeCell ref="B208:H208"/>
    <mergeCell ref="B219:H219"/>
    <mergeCell ref="B230:H230"/>
    <mergeCell ref="B193:AB195"/>
    <mergeCell ref="B385:AB387"/>
    <mergeCell ref="B289:AB291"/>
    <mergeCell ref="B382:H382"/>
    <mergeCell ref="I382:K382"/>
    <mergeCell ref="L382:P382"/>
    <mergeCell ref="Q382:S382"/>
    <mergeCell ref="T382:AB382"/>
    <mergeCell ref="B369:H369"/>
    <mergeCell ref="I369:K369"/>
    <mergeCell ref="B605:C605"/>
    <mergeCell ref="B606:C606"/>
    <mergeCell ref="B607:C607"/>
    <mergeCell ref="B604:D604"/>
    <mergeCell ref="B433:H433"/>
    <mergeCell ref="B444:H444"/>
    <mergeCell ref="B455:H455"/>
    <mergeCell ref="B466:H466"/>
    <mergeCell ref="B485:H485"/>
    <mergeCell ref="B496:H496"/>
    <mergeCell ref="B507:H507"/>
    <mergeCell ref="B518:H518"/>
    <mergeCell ref="B529:H529"/>
    <mergeCell ref="B443:H443"/>
    <mergeCell ref="B517:H517"/>
    <mergeCell ref="B506:H506"/>
    <mergeCell ref="B576:H576"/>
    <mergeCell ref="B591:K591"/>
    <mergeCell ref="I443:K443"/>
    <mergeCell ref="B561:H561"/>
    <mergeCell ref="I561:K561"/>
    <mergeCell ref="I517:K517"/>
  </mergeCells>
  <phoneticPr fontId="1" type="noConversion"/>
  <pageMargins left="0.75000000000000011" right="0.75000000000000011" top="0.68452380952380953" bottom="0.40674603174603174" header="9.9206349206349201E-2" footer="0.38690476190476192"/>
  <pageSetup paperSize="9" scale="86" orientation="landscape" horizontalDpi="4294967292" verticalDpi="4294967292" r:id="rId1"/>
  <headerFooter>
    <oddHeader>&amp;L&amp;"Fira Sans,Regular"&amp;10&amp;K000000Meso Name
Session &amp;P&amp;C&amp;"Calibri,Regular"&amp;K000000&amp;G&amp;R&amp;"Fira Sans,Regular"&amp;K000000Client&amp;"URW Gothic L Book,Regular" &amp;"Fira Sans,Regular"Name</oddHeader>
  </headerFooter>
  <rowBreaks count="5" manualBreakCount="5">
    <brk id="194" max="16383" man="1"/>
    <brk id="290" max="16383" man="1"/>
    <brk id="386" max="16383" man="1"/>
    <brk id="579" max="16383" man="1"/>
    <brk id="637"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1EBA5-0A11-4880-A9A4-B49AABE4E7FA}">
  <dimension ref="A1:D57"/>
  <sheetViews>
    <sheetView showGridLines="0" workbookViewId="0">
      <selection activeCell="A10" sqref="A10"/>
    </sheetView>
  </sheetViews>
  <sheetFormatPr defaultRowHeight="15" x14ac:dyDescent="0.2"/>
  <cols>
    <col min="1" max="1" width="18.4296875" bestFit="1" customWidth="1"/>
  </cols>
  <sheetData>
    <row r="1" spans="1:4" ht="15.75" thickBot="1" x14ac:dyDescent="0.25"/>
    <row r="2" spans="1:4" x14ac:dyDescent="0.2">
      <c r="A2" s="233" t="s">
        <v>181</v>
      </c>
      <c r="B2" s="234"/>
      <c r="C2" s="234"/>
      <c r="D2" s="235"/>
    </row>
    <row r="3" spans="1:4" x14ac:dyDescent="0.2">
      <c r="A3" s="236"/>
      <c r="B3" s="237"/>
      <c r="C3" s="237"/>
      <c r="D3" s="238"/>
    </row>
    <row r="4" spans="1:4" x14ac:dyDescent="0.2">
      <c r="A4" s="236"/>
      <c r="B4" s="237"/>
      <c r="C4" s="237"/>
      <c r="D4" s="238"/>
    </row>
    <row r="5" spans="1:4" x14ac:dyDescent="0.2">
      <c r="A5" s="236"/>
      <c r="B5" s="237"/>
      <c r="C5" s="237"/>
      <c r="D5" s="238"/>
    </row>
    <row r="6" spans="1:4" ht="15.75" thickBot="1" x14ac:dyDescent="0.25">
      <c r="A6" s="239"/>
      <c r="B6" s="240"/>
      <c r="C6" s="240"/>
      <c r="D6" s="241"/>
    </row>
    <row r="9" spans="1:4" x14ac:dyDescent="0.2">
      <c r="A9" s="116" t="s">
        <v>182</v>
      </c>
      <c r="B9" s="116" t="s">
        <v>183</v>
      </c>
    </row>
    <row r="10" spans="1:4" x14ac:dyDescent="0.2">
      <c r="A10" t="str">
        <f>'Exercise Selection'!A2</f>
        <v>(A) Box ^Squat</v>
      </c>
      <c r="B10">
        <f>SUM('Training Plan'!AA7:AA14)</f>
        <v>5620</v>
      </c>
    </row>
    <row r="11" spans="1:4" x14ac:dyDescent="0.2">
      <c r="A11" t="str">
        <f>'Exercise Selection'!A3</f>
        <v>(B1) Staggered Stance RDL</v>
      </c>
      <c r="B11">
        <f>SUM('Training Plan'!AA18:AA25)</f>
        <v>6190</v>
      </c>
    </row>
    <row r="12" spans="1:4" x14ac:dyDescent="0.2">
      <c r="A12" t="str">
        <f>'Exercise Selection'!A4</f>
        <v>(B2) RNT Split Squat</v>
      </c>
      <c r="B12">
        <f>SUM('Training Plan'!AA29:AA36)</f>
        <v>3328</v>
      </c>
    </row>
    <row r="13" spans="1:4" x14ac:dyDescent="0.2">
      <c r="A13" t="str">
        <f>'Exercise Selection'!A5</f>
        <v>(C1) Leg Extensions</v>
      </c>
      <c r="B13">
        <f>SUM('Training Plan'!AA40:AA47)</f>
        <v>7392</v>
      </c>
    </row>
    <row r="14" spans="1:4" x14ac:dyDescent="0.2">
      <c r="A14" t="str">
        <f>'Exercise Selection'!A6</f>
        <v>(C2) Leg Curls</v>
      </c>
      <c r="B14">
        <f>SUM('Training Plan'!AA51:AA58)</f>
        <v>8180</v>
      </c>
    </row>
    <row r="15" spans="1:4" x14ac:dyDescent="0.2">
      <c r="A15" t="str">
        <f>'Exercise Selection'!A7</f>
        <v>(D1) Glute Bridge March</v>
      </c>
      <c r="B15">
        <f>SUM('Training Plan'!AA62:AA69)</f>
        <v>0</v>
      </c>
    </row>
    <row r="16" spans="1:4" x14ac:dyDescent="0.2">
      <c r="A16" t="str">
        <f>'Exercise Selection'!A8</f>
        <v>(D2) Bird Dog</v>
      </c>
      <c r="B16">
        <f>SUM('Training Plan'!AA73:AA80)</f>
        <v>0</v>
      </c>
    </row>
    <row r="17" spans="1:2" x14ac:dyDescent="0.2">
      <c r="A17">
        <f>'Exercise Selection'!A9</f>
        <v>0</v>
      </c>
      <c r="B17">
        <f>SUM('Training Plan'!AA84:AA91)</f>
        <v>0</v>
      </c>
    </row>
    <row r="18" spans="1:2" x14ac:dyDescent="0.2">
      <c r="A18" t="str">
        <f>'Exercise Selection'!B2</f>
        <v>(A) 3 Second Pause ^Bench</v>
      </c>
      <c r="B18">
        <f>SUM('Training Plan'!AA103:AA110)</f>
        <v>4490</v>
      </c>
    </row>
    <row r="19" spans="1:2" x14ac:dyDescent="0.2">
      <c r="A19" t="str">
        <f>'Exercise Selection'!B3</f>
        <v>(B1) Incline Dumbbell press</v>
      </c>
      <c r="B19">
        <f>SUM('Training Plan'!AA114:AA121)</f>
        <v>6280</v>
      </c>
    </row>
    <row r="20" spans="1:2" x14ac:dyDescent="0.2">
      <c r="A20" t="str">
        <f>'Exercise Selection'!B4</f>
        <v>(B2) Seated Cable Row</v>
      </c>
      <c r="B20">
        <f>SUM('Training Plan'!AA125:AA132)</f>
        <v>8772</v>
      </c>
    </row>
    <row r="21" spans="1:2" x14ac:dyDescent="0.2">
      <c r="A21" t="str">
        <f>'Exercise Selection'!B5</f>
        <v>(C1) Single Arm Half  kneeling Dumbbell Shoulder Press</v>
      </c>
      <c r="B21">
        <f>SUM('Training Plan'!AA136:AA143)</f>
        <v>1712</v>
      </c>
    </row>
    <row r="22" spans="1:2" x14ac:dyDescent="0.2">
      <c r="A22" t="str">
        <f>'Exercise Selection'!B6</f>
        <v>(C2) Face Pulls</v>
      </c>
      <c r="B22">
        <f>SUM('Training Plan'!AA147:AA154)</f>
        <v>4944</v>
      </c>
    </row>
    <row r="23" spans="1:2" x14ac:dyDescent="0.2">
      <c r="A23" t="str">
        <f>'Exercise Selection'!B7</f>
        <v>(D1) Hammer Curl</v>
      </c>
      <c r="B23">
        <f>SUM('Training Plan'!AA158:AA165)</f>
        <v>3404</v>
      </c>
    </row>
    <row r="24" spans="1:2" x14ac:dyDescent="0.2">
      <c r="A24" t="str">
        <f>'Exercise Selection'!B8</f>
        <v>(D2) Cable Tricep Push Downs</v>
      </c>
      <c r="B24">
        <f>SUM('Training Plan'!AA169:AA176)</f>
        <v>4512</v>
      </c>
    </row>
    <row r="25" spans="1:2" x14ac:dyDescent="0.2">
      <c r="A25">
        <f>'Exercise Selection'!B9</f>
        <v>0</v>
      </c>
      <c r="B25">
        <f>SUM('Training Plan'!AA180:AA187)</f>
        <v>0</v>
      </c>
    </row>
    <row r="26" spans="1:2" x14ac:dyDescent="0.2">
      <c r="A26" t="str">
        <f>'Exercise Selection'!C2</f>
        <v>(A) Hover ^Deadlift</v>
      </c>
      <c r="B26">
        <f>SUM('Training Plan'!AA199:AA206)</f>
        <v>6060</v>
      </c>
    </row>
    <row r="27" spans="1:2" x14ac:dyDescent="0.2">
      <c r="A27" t="str">
        <f>'Exercise Selection'!C3</f>
        <v>(B1) Front Squat/Zombie Squat</v>
      </c>
      <c r="B27">
        <f>SUM('Training Plan'!AA210:AA217)</f>
        <v>4930</v>
      </c>
    </row>
    <row r="28" spans="1:2" x14ac:dyDescent="0.2">
      <c r="A28" t="str">
        <f>'Exercise Selection'!C4</f>
        <v>(B2) Single Leg RDL</v>
      </c>
      <c r="B28">
        <f>SUM('Training Plan'!AA221:AA228)</f>
        <v>5520</v>
      </c>
    </row>
    <row r="29" spans="1:2" x14ac:dyDescent="0.2">
      <c r="A29" t="str">
        <f>'Exercise Selection'!C5</f>
        <v>(C1) Banded TKE</v>
      </c>
      <c r="B29">
        <f>SUM('Training Plan'!AA232:AA239)</f>
        <v>0</v>
      </c>
    </row>
    <row r="30" spans="1:2" x14ac:dyDescent="0.2">
      <c r="A30" t="str">
        <f>'Exercise Selection'!C6</f>
        <v>(C2) Side Plank</v>
      </c>
      <c r="B30" t="e">
        <f>SUM('Training Plan'!AA243:AA250)</f>
        <v>#VALUE!</v>
      </c>
    </row>
    <row r="31" spans="1:2" x14ac:dyDescent="0.2">
      <c r="A31" t="str">
        <f>'Exercise Selection'!C7</f>
        <v>(C3) Hip Airplane</v>
      </c>
      <c r="B31">
        <f>SUM('Training Plan'!AA254:AA261)</f>
        <v>0</v>
      </c>
    </row>
    <row r="32" spans="1:2" x14ac:dyDescent="0.2">
      <c r="A32">
        <f>'Exercise Selection'!C8</f>
        <v>0</v>
      </c>
      <c r="B32">
        <f>SUM('Training Plan'!AA265:AA272)</f>
        <v>0</v>
      </c>
    </row>
    <row r="33" spans="1:2" x14ac:dyDescent="0.2">
      <c r="A33">
        <f>'Exercise Selection'!C9</f>
        <v>0</v>
      </c>
      <c r="B33">
        <f>SUM('Training Plan'!AA276:AA283)</f>
        <v>0</v>
      </c>
    </row>
    <row r="34" spans="1:2" x14ac:dyDescent="0.2">
      <c r="A34" t="str">
        <f>'Exercise Selection'!A15</f>
        <v>(A1) Flat Bench Dumbbell Bench</v>
      </c>
      <c r="B34">
        <f>SUM('Training Plan'!AA295:AA302)</f>
        <v>4488</v>
      </c>
    </row>
    <row r="35" spans="1:2" x14ac:dyDescent="0.2">
      <c r="A35" t="str">
        <f>'Exercise Selection'!A16</f>
        <v>(A2) Single Arm Dumbbell Row</v>
      </c>
      <c r="B35">
        <f>SUM('Training Plan'!AA306:AA313)</f>
        <v>2048</v>
      </c>
    </row>
    <row r="36" spans="1:2" x14ac:dyDescent="0.2">
      <c r="A36" t="str">
        <f>'Exercise Selection'!A17</f>
        <v>(B1) Overhead Press</v>
      </c>
      <c r="B36">
        <f>SUM('Training Plan'!AA317:AA324)</f>
        <v>2750</v>
      </c>
    </row>
    <row r="37" spans="1:2" x14ac:dyDescent="0.2">
      <c r="A37" t="str">
        <f>'Exercise Selection'!A18</f>
        <v>(B2) Lat Pulldown</v>
      </c>
      <c r="B37">
        <f>SUM('Training Plan'!AA328:AA335)</f>
        <v>5398</v>
      </c>
    </row>
    <row r="38" spans="1:2" x14ac:dyDescent="0.2">
      <c r="A38" t="str">
        <f>'Exercise Selection'!A19</f>
        <v>(C1) Overhead Dumbbell Tricep Extension</v>
      </c>
      <c r="B38">
        <f>SUM('Training Plan'!AA339:AA346)</f>
        <v>1460</v>
      </c>
    </row>
    <row r="39" spans="1:2" x14ac:dyDescent="0.2">
      <c r="A39" t="str">
        <f>'Exercise Selection'!A20</f>
        <v>(C2) Single Arm Ext Rota Vertical</v>
      </c>
      <c r="B39">
        <f>SUM('Training Plan'!AA350:AA357)</f>
        <v>500</v>
      </c>
    </row>
    <row r="40" spans="1:2" x14ac:dyDescent="0.2">
      <c r="A40" t="str">
        <f>'Exercise Selection'!A21</f>
        <v>(C3) Zottman Curl</v>
      </c>
      <c r="B40">
        <f>SUM('Training Plan'!AA361:AA368)</f>
        <v>2160</v>
      </c>
    </row>
    <row r="41" spans="1:2" x14ac:dyDescent="0.2">
      <c r="A41">
        <f>'Exercise Selection'!A22</f>
        <v>0</v>
      </c>
      <c r="B41">
        <f>SUM('Training Plan'!AA372:AA379)</f>
        <v>0</v>
      </c>
    </row>
    <row r="42" spans="1:2" x14ac:dyDescent="0.2">
      <c r="A42" t="str">
        <f>'Exercise Selection'!B15</f>
        <v>(A1) Five</v>
      </c>
      <c r="B42">
        <f>SUM('Training Plan'!AA391:AA398)</f>
        <v>0</v>
      </c>
    </row>
    <row r="43" spans="1:2" x14ac:dyDescent="0.2">
      <c r="A43" t="str">
        <f>'Exercise Selection'!B16</f>
        <v>(A2) Five</v>
      </c>
      <c r="B43">
        <f>SUM('Training Plan'!AA402:AA409)</f>
        <v>0</v>
      </c>
    </row>
    <row r="44" spans="1:2" x14ac:dyDescent="0.2">
      <c r="A44" t="str">
        <f>'Exercise Selection'!B17</f>
        <v>(B1) Five</v>
      </c>
      <c r="B44">
        <f>SUM('Training Plan'!AA413:AA420)</f>
        <v>0</v>
      </c>
    </row>
    <row r="45" spans="1:2" x14ac:dyDescent="0.2">
      <c r="A45" t="str">
        <f>'Exercise Selection'!B18</f>
        <v>(B2) Five</v>
      </c>
      <c r="B45">
        <f>SUM('Training Plan'!AA424:AA431)</f>
        <v>0</v>
      </c>
    </row>
    <row r="46" spans="1:2" x14ac:dyDescent="0.2">
      <c r="A46" t="str">
        <f>'Exercise Selection'!B19</f>
        <v>(C1) Five</v>
      </c>
      <c r="B46">
        <f>SUM('Training Plan'!AA435:AA442)</f>
        <v>0</v>
      </c>
    </row>
    <row r="47" spans="1:2" x14ac:dyDescent="0.2">
      <c r="A47" t="str">
        <f>'Exercise Selection'!B20</f>
        <v>(C2) Five</v>
      </c>
      <c r="B47">
        <f>SUM('Training Plan'!AA446:AA453)</f>
        <v>0</v>
      </c>
    </row>
    <row r="48" spans="1:2" x14ac:dyDescent="0.2">
      <c r="A48" t="str">
        <f>'Exercise Selection'!B21</f>
        <v>(C3) Five</v>
      </c>
      <c r="B48">
        <f>SUM('Training Plan'!AA457:AA464)</f>
        <v>0</v>
      </c>
    </row>
    <row r="49" spans="1:2" x14ac:dyDescent="0.2">
      <c r="A49" t="str">
        <f>'Exercise Selection'!B22</f>
        <v>(D1) Five</v>
      </c>
      <c r="B49">
        <f>SUM('Training Plan'!AA468:AA475)</f>
        <v>0</v>
      </c>
    </row>
    <row r="50" spans="1:2" x14ac:dyDescent="0.2">
      <c r="A50" t="str">
        <f>'Exercise Selection'!C15</f>
        <v>(A1) Six</v>
      </c>
      <c r="B50">
        <f>SUM('Training Plan'!AA487:AA494)</f>
        <v>0</v>
      </c>
    </row>
    <row r="51" spans="1:2" x14ac:dyDescent="0.2">
      <c r="A51" t="str">
        <f>'Exercise Selection'!C16</f>
        <v>(A2) Six</v>
      </c>
      <c r="B51">
        <f>SUM('Training Plan'!AA498:AA505)</f>
        <v>0</v>
      </c>
    </row>
    <row r="52" spans="1:2" x14ac:dyDescent="0.2">
      <c r="A52" t="str">
        <f>'Exercise Selection'!C17</f>
        <v>(B1) Six</v>
      </c>
      <c r="B52">
        <f>SUM('Training Plan'!AA509:AA516)</f>
        <v>0</v>
      </c>
    </row>
    <row r="53" spans="1:2" x14ac:dyDescent="0.2">
      <c r="A53" t="str">
        <f>'Exercise Selection'!C18</f>
        <v>(B2) Six</v>
      </c>
      <c r="B53">
        <f>SUM('Training Plan'!AA520:AA527)</f>
        <v>0</v>
      </c>
    </row>
    <row r="54" spans="1:2" x14ac:dyDescent="0.2">
      <c r="A54" t="str">
        <f>'Exercise Selection'!C19</f>
        <v>(C1) Six</v>
      </c>
      <c r="B54">
        <f>SUM('Training Plan'!AA531:AA538)</f>
        <v>0</v>
      </c>
    </row>
    <row r="55" spans="1:2" x14ac:dyDescent="0.2">
      <c r="A55" t="str">
        <f>'Exercise Selection'!C20</f>
        <v>(C2) Six</v>
      </c>
      <c r="B55">
        <f>SUM('Training Plan'!AA542:AA549)</f>
        <v>0</v>
      </c>
    </row>
    <row r="56" spans="1:2" x14ac:dyDescent="0.2">
      <c r="A56" t="str">
        <f>'Exercise Selection'!C21</f>
        <v>(C3) Six</v>
      </c>
      <c r="B56">
        <f>SUM('Training Plan'!AA553:AA560)</f>
        <v>0</v>
      </c>
    </row>
    <row r="57" spans="1:2" x14ac:dyDescent="0.2">
      <c r="A57" t="str">
        <f>'Exercise Selection'!C22</f>
        <v>(D1) Six</v>
      </c>
      <c r="B57">
        <f>SUM('Training Plan'!AA564:AA571)</f>
        <v>0</v>
      </c>
    </row>
  </sheetData>
  <mergeCells count="1">
    <mergeCell ref="A2:D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1"/>
  </sheetPr>
  <dimension ref="A4:O50"/>
  <sheetViews>
    <sheetView showGridLines="0" view="pageLayout" zoomScale="130" zoomScaleNormal="125" zoomScalePageLayoutView="130" workbookViewId="0">
      <selection activeCell="H4" sqref="H4:J4"/>
    </sheetView>
  </sheetViews>
  <sheetFormatPr defaultColWidth="8.875" defaultRowHeight="15" x14ac:dyDescent="0.2"/>
  <cols>
    <col min="1" max="16384" width="8.875" style="1"/>
  </cols>
  <sheetData>
    <row r="4" spans="2:14" x14ac:dyDescent="0.2">
      <c r="F4" s="244" t="s">
        <v>184</v>
      </c>
      <c r="G4" s="244"/>
      <c r="H4" s="245" t="s">
        <v>32</v>
      </c>
      <c r="I4" s="245"/>
      <c r="J4" s="245"/>
    </row>
    <row r="5" spans="2:14" x14ac:dyDescent="0.2">
      <c r="F5" s="244" t="s">
        <v>185</v>
      </c>
      <c r="G5" s="244"/>
      <c r="H5" s="246">
        <f ca="1">MROUND(OFFSET(INDEX(Overview!C14:N14,MATCH('RM Calculator'!H4,Overview!C14:N14,0)),2,-1),1)</f>
        <v>146</v>
      </c>
      <c r="I5" s="246"/>
      <c r="J5" s="246"/>
      <c r="K5" s="247" t="s">
        <v>186</v>
      </c>
      <c r="L5" s="248"/>
    </row>
    <row r="7" spans="2:14" x14ac:dyDescent="0.2">
      <c r="B7" s="242" t="s">
        <v>187</v>
      </c>
      <c r="C7" s="243" t="s">
        <v>38</v>
      </c>
      <c r="D7" s="243"/>
      <c r="E7" s="243"/>
      <c r="F7" s="243"/>
      <c r="G7" s="243"/>
      <c r="H7" s="243"/>
      <c r="I7" s="243"/>
      <c r="J7" s="243"/>
      <c r="K7" s="243"/>
      <c r="L7" s="243"/>
      <c r="M7" s="243"/>
      <c r="N7" s="243"/>
    </row>
    <row r="8" spans="2:14" x14ac:dyDescent="0.2">
      <c r="B8" s="242"/>
      <c r="C8" s="155">
        <v>1</v>
      </c>
      <c r="D8" s="155">
        <v>2</v>
      </c>
      <c r="E8" s="155">
        <v>3</v>
      </c>
      <c r="F8" s="155">
        <v>4</v>
      </c>
      <c r="G8" s="155">
        <v>5</v>
      </c>
      <c r="H8" s="155">
        <v>6</v>
      </c>
      <c r="I8" s="155">
        <v>7</v>
      </c>
      <c r="J8" s="155">
        <v>8</v>
      </c>
      <c r="K8" s="155">
        <v>9</v>
      </c>
      <c r="L8" s="155">
        <v>10</v>
      </c>
      <c r="M8" s="155">
        <v>11</v>
      </c>
      <c r="N8" s="155">
        <v>12</v>
      </c>
    </row>
    <row r="9" spans="2:14" x14ac:dyDescent="0.2">
      <c r="B9" s="155">
        <v>10</v>
      </c>
      <c r="C9" s="41">
        <f ca="1">H5</f>
        <v>146</v>
      </c>
      <c r="D9" s="42">
        <f ca="1">MROUND($H$5*0.95,2.5)</f>
        <v>137.5</v>
      </c>
      <c r="E9" s="42">
        <f ca="1">MROUND($H$5*0.9,2.5)</f>
        <v>132.5</v>
      </c>
      <c r="F9" s="42">
        <f ca="1">MROUND($H$5*0.85,2.5)</f>
        <v>125</v>
      </c>
      <c r="G9" s="42">
        <f ca="1">MROUND($H$5*0.8,2.5)</f>
        <v>117.5</v>
      </c>
      <c r="H9" s="42">
        <f ca="1">MROUND($H$5*0.77,2.5)</f>
        <v>112.5</v>
      </c>
      <c r="I9" s="42">
        <f ca="1">MROUND($H$5*0.74,2.5)</f>
        <v>107.5</v>
      </c>
      <c r="J9" s="42">
        <f ca="1">MROUND($H$5*0.71,2.5)</f>
        <v>102.5</v>
      </c>
      <c r="K9" s="42">
        <f ca="1">MROUND($H$5*0.69,2.5)</f>
        <v>100</v>
      </c>
      <c r="L9" s="42">
        <f ca="1">MROUND($H$5*0.66,2.5)</f>
        <v>97.5</v>
      </c>
      <c r="M9" s="42">
        <f ca="1">MROUND($H$5*0.64,2.5)</f>
        <v>92.5</v>
      </c>
      <c r="N9" s="42">
        <f ca="1">MROUND($H$5*0.62,2.5)</f>
        <v>90</v>
      </c>
    </row>
    <row r="10" spans="2:14" x14ac:dyDescent="0.2">
      <c r="B10" s="155">
        <v>9.5</v>
      </c>
      <c r="C10" s="64">
        <f ca="1">MROUND($H$5*0.98,2.5)</f>
        <v>142.5</v>
      </c>
      <c r="D10" s="65">
        <f ca="1">MROUND($H$5*0.93,2.5)</f>
        <v>135</v>
      </c>
      <c r="E10" s="65">
        <f ca="1">MROUND($H$5*0.88,2.5)</f>
        <v>127.5</v>
      </c>
      <c r="F10" s="65">
        <f ca="1">MROUND($H$5*0.83,2.5)</f>
        <v>120</v>
      </c>
      <c r="G10" s="65">
        <f ca="1">MROUND($H$5*0.79,2.5)</f>
        <v>115</v>
      </c>
      <c r="H10" s="65">
        <f ca="1">MROUND($H$5*0.76,2.5)</f>
        <v>110</v>
      </c>
      <c r="I10" s="65">
        <f ca="1">MROUND($H$5*0.73,2.5)</f>
        <v>107.5</v>
      </c>
      <c r="J10" s="65">
        <f ca="1">MROUND($H$5*0.7,2.5)</f>
        <v>102.5</v>
      </c>
      <c r="K10" s="65">
        <f ca="1">MROUND($H$5*0.67,2.5)</f>
        <v>97.5</v>
      </c>
      <c r="L10" s="65">
        <f ca="1">MROUND($H$5*0.65,2.5)</f>
        <v>95</v>
      </c>
      <c r="M10" s="65">
        <f ca="1">MROUND($H$5*0.63,2.5)</f>
        <v>92.5</v>
      </c>
      <c r="N10" s="65" t="s">
        <v>188</v>
      </c>
    </row>
    <row r="11" spans="2:14" x14ac:dyDescent="0.2">
      <c r="B11" s="155">
        <v>9</v>
      </c>
      <c r="C11" s="43">
        <f ca="1">MROUND($H$5*0.95,2.5)</f>
        <v>137.5</v>
      </c>
      <c r="D11" s="44">
        <f ca="1">MROUND($H$5*0.9,2.5)</f>
        <v>132.5</v>
      </c>
      <c r="E11" s="44">
        <f ca="1">MROUND($H$5*0.85,2.5)</f>
        <v>125</v>
      </c>
      <c r="F11" s="44">
        <f ca="1">MROUND($H$5*0.8,2.5)</f>
        <v>117.5</v>
      </c>
      <c r="G11" s="44">
        <f ca="1">MROUND($H$5*0.775,2.5)</f>
        <v>112.5</v>
      </c>
      <c r="H11" s="44">
        <f ca="1">MROUND($H$5*0.74,2.5)</f>
        <v>107.5</v>
      </c>
      <c r="I11" s="44">
        <f ca="1">MROUND($H$5*0.71,2.5)</f>
        <v>102.5</v>
      </c>
      <c r="J11" s="44">
        <f ca="1">MROUND($H$5*0.69,2.5)</f>
        <v>100</v>
      </c>
      <c r="K11" s="44">
        <f ca="1">MROUND($H$5*0.66,2.5)</f>
        <v>97.5</v>
      </c>
      <c r="L11" s="44">
        <f ca="1">MROUND($H$5*0.64,2.5)</f>
        <v>92.5</v>
      </c>
      <c r="M11" s="44">
        <f ca="1">MROUND($H$5*0.62,2.5)</f>
        <v>90</v>
      </c>
      <c r="N11" s="44" t="s">
        <v>188</v>
      </c>
    </row>
    <row r="12" spans="2:14" x14ac:dyDescent="0.2">
      <c r="B12" s="155">
        <v>8.5</v>
      </c>
      <c r="C12" s="64">
        <f ca="1">MROUND($H$5*0.93,2.5)</f>
        <v>135</v>
      </c>
      <c r="D12" s="65">
        <f ca="1">MROUND($H$5*0.88,2.5)</f>
        <v>127.5</v>
      </c>
      <c r="E12" s="65">
        <f ca="1">MROUND($H$5*0.83,2.5)</f>
        <v>120</v>
      </c>
      <c r="F12" s="65">
        <f ca="1">MROUND($H$5*0.79,2.5)</f>
        <v>115</v>
      </c>
      <c r="G12" s="65">
        <f ca="1">MROUND($H$5*0.76,2.5)</f>
        <v>110</v>
      </c>
      <c r="H12" s="65">
        <f ca="1">MROUND($H$5*0.73,2.5)</f>
        <v>107.5</v>
      </c>
      <c r="I12" s="65">
        <f ca="1">MROUND($H$5*0.7,2.5)</f>
        <v>102.5</v>
      </c>
      <c r="J12" s="65">
        <f ca="1">MROUND($H$5*0.67,2.5)</f>
        <v>97.5</v>
      </c>
      <c r="K12" s="65">
        <f ca="1">MROUND($H$5*0.65,2.5)</f>
        <v>95</v>
      </c>
      <c r="L12" s="65">
        <f ca="1">MROUND($H$5*0.63,2.5)</f>
        <v>92.5</v>
      </c>
      <c r="M12" s="65" t="s">
        <v>188</v>
      </c>
      <c r="N12" s="65" t="s">
        <v>188</v>
      </c>
    </row>
    <row r="13" spans="2:14" x14ac:dyDescent="0.2">
      <c r="B13" s="155">
        <v>8</v>
      </c>
      <c r="C13" s="43">
        <f ca="1">MROUND($H$5*0.9,2.5)</f>
        <v>132.5</v>
      </c>
      <c r="D13" s="44">
        <f ca="1">MROUND($H$5*0.85,2.5)</f>
        <v>125</v>
      </c>
      <c r="E13" s="44">
        <f ca="1">MROUND($H$5*0.8,2.5)</f>
        <v>117.5</v>
      </c>
      <c r="F13" s="44">
        <f ca="1">MROUND($H$5*0.77,2.5)</f>
        <v>112.5</v>
      </c>
      <c r="G13" s="44">
        <f ca="1">MROUND($H$5*0.74,2.5)</f>
        <v>107.5</v>
      </c>
      <c r="H13" s="44">
        <f ca="1">MROUND($H$5*0.71,2.5)</f>
        <v>102.5</v>
      </c>
      <c r="I13" s="44">
        <f ca="1">MROUND($H$5*0.69,2.5)</f>
        <v>100</v>
      </c>
      <c r="J13" s="44">
        <f ca="1">MROUND($H$5*0.66,2.5)</f>
        <v>97.5</v>
      </c>
      <c r="K13" s="44">
        <f ca="1">MROUND($H$5*0.64,2.5)</f>
        <v>92.5</v>
      </c>
      <c r="L13" s="44">
        <f ca="1">MROUND($H$5*0.62,2.5)</f>
        <v>90</v>
      </c>
      <c r="M13" s="44" t="s">
        <v>188</v>
      </c>
      <c r="N13" s="44" t="s">
        <v>188</v>
      </c>
    </row>
    <row r="14" spans="2:14" x14ac:dyDescent="0.2">
      <c r="B14" s="155">
        <v>7</v>
      </c>
      <c r="C14" s="64">
        <f ca="1">MROUND($H$5*0.85,2.5)</f>
        <v>125</v>
      </c>
      <c r="D14" s="65">
        <f ca="1">MROUND($H$5*0.8,2.5)</f>
        <v>117.5</v>
      </c>
      <c r="E14" s="65">
        <f ca="1">MROUND($H$5*0.775,2.5)</f>
        <v>112.5</v>
      </c>
      <c r="F14" s="65">
        <f ca="1">MROUND($H$5*0.74,2.5)</f>
        <v>107.5</v>
      </c>
      <c r="G14" s="65">
        <f ca="1">MROUND($H$5*0.71,2.5)</f>
        <v>102.5</v>
      </c>
      <c r="H14" s="65">
        <f ca="1">MROUND($H$5*0.69,2.5)</f>
        <v>100</v>
      </c>
      <c r="I14" s="65">
        <f ca="1">MROUND($H$5*0.66,2.5)</f>
        <v>97.5</v>
      </c>
      <c r="J14" s="65">
        <f ca="1">MROUND($H$5*0.64,2.5)</f>
        <v>92.5</v>
      </c>
      <c r="K14" s="65">
        <f ca="1">MROUND($H$5*0.62,2.5)</f>
        <v>90</v>
      </c>
      <c r="L14" s="65" t="s">
        <v>188</v>
      </c>
      <c r="M14" s="65" t="s">
        <v>188</v>
      </c>
      <c r="N14" s="65" t="s">
        <v>188</v>
      </c>
    </row>
    <row r="15" spans="2:14" x14ac:dyDescent="0.2">
      <c r="B15" s="155">
        <v>6</v>
      </c>
      <c r="C15" s="43">
        <f ca="1">MROUND($H$5*0.8,2.5)</f>
        <v>117.5</v>
      </c>
      <c r="D15" s="44">
        <f ca="1">MROUND($H$5*0.775,2.5)</f>
        <v>112.5</v>
      </c>
      <c r="E15" s="44">
        <f ca="1">MROUND($H$5*0.74,2.5)</f>
        <v>107.5</v>
      </c>
      <c r="F15" s="44">
        <f ca="1">MROUND($H$5*0.71,2.5)</f>
        <v>102.5</v>
      </c>
      <c r="G15" s="44">
        <f ca="1">MROUND($H$5*0.69,2.5)</f>
        <v>100</v>
      </c>
      <c r="H15" s="44">
        <f ca="1">MROUND($H$5*0.66,2.5)</f>
        <v>97.5</v>
      </c>
      <c r="I15" s="44">
        <f ca="1">MROUND($H$5*0.64,2.5)</f>
        <v>92.5</v>
      </c>
      <c r="J15" s="44">
        <f ca="1">MROUND($H$5*0.62,2.5)</f>
        <v>90</v>
      </c>
      <c r="K15" s="45" t="s">
        <v>188</v>
      </c>
      <c r="L15" s="45" t="s">
        <v>188</v>
      </c>
      <c r="M15" s="45" t="s">
        <v>188</v>
      </c>
      <c r="N15" s="45" t="s">
        <v>188</v>
      </c>
    </row>
    <row r="16" spans="2:14" x14ac:dyDescent="0.2">
      <c r="B16" s="46"/>
    </row>
    <row r="17" spans="1:15" x14ac:dyDescent="0.2">
      <c r="A17" s="47"/>
      <c r="B17" s="48"/>
      <c r="C17" s="47"/>
      <c r="D17" s="47"/>
      <c r="E17" s="47"/>
      <c r="F17" s="47"/>
      <c r="G17" s="47"/>
      <c r="H17" s="47"/>
      <c r="I17" s="47"/>
      <c r="J17" s="47"/>
      <c r="K17" s="47"/>
      <c r="L17" s="47"/>
      <c r="M17" s="47"/>
      <c r="N17" s="47"/>
      <c r="O17" s="47"/>
    </row>
    <row r="18" spans="1:15" x14ac:dyDescent="0.2">
      <c r="A18" s="47"/>
      <c r="B18" s="242" t="s">
        <v>187</v>
      </c>
      <c r="C18" s="243" t="s">
        <v>38</v>
      </c>
      <c r="D18" s="243"/>
      <c r="E18" s="243"/>
      <c r="F18" s="243"/>
      <c r="G18" s="243"/>
      <c r="H18" s="243"/>
      <c r="I18" s="243"/>
      <c r="J18" s="243"/>
      <c r="K18" s="243"/>
      <c r="L18" s="243"/>
      <c r="M18" s="243"/>
      <c r="N18" s="243"/>
      <c r="O18" s="47"/>
    </row>
    <row r="19" spans="1:15" x14ac:dyDescent="0.2">
      <c r="A19" s="47"/>
      <c r="B19" s="242" t="s">
        <v>187</v>
      </c>
      <c r="C19" s="155">
        <v>1</v>
      </c>
      <c r="D19" s="155">
        <v>2</v>
      </c>
      <c r="E19" s="155">
        <v>3</v>
      </c>
      <c r="F19" s="155">
        <v>4</v>
      </c>
      <c r="G19" s="155">
        <v>5</v>
      </c>
      <c r="H19" s="155">
        <v>6</v>
      </c>
      <c r="I19" s="155">
        <v>7</v>
      </c>
      <c r="J19" s="155">
        <v>8</v>
      </c>
      <c r="K19" s="155">
        <v>9</v>
      </c>
      <c r="L19" s="155">
        <v>10</v>
      </c>
      <c r="M19" s="155">
        <v>11</v>
      </c>
      <c r="N19" s="155">
        <v>12</v>
      </c>
      <c r="O19" s="47"/>
    </row>
    <row r="20" spans="1:15" x14ac:dyDescent="0.2">
      <c r="A20" s="47"/>
      <c r="B20" s="155">
        <v>10</v>
      </c>
      <c r="C20" s="66">
        <f>C43^$B$32</f>
        <v>1</v>
      </c>
      <c r="D20" s="67">
        <f>D43^$B$32</f>
        <v>0.95</v>
      </c>
      <c r="E20" s="67">
        <f>E43^$B$32</f>
        <v>0.9</v>
      </c>
      <c r="F20" s="67">
        <f>F43^$B$37</f>
        <v>0.85</v>
      </c>
      <c r="G20" s="67">
        <f t="shared" ref="G20:N20" si="0">G43^$B$37</f>
        <v>0.8</v>
      </c>
      <c r="H20" s="67">
        <f t="shared" si="0"/>
        <v>0.77</v>
      </c>
      <c r="I20" s="67">
        <f t="shared" si="0"/>
        <v>0.74</v>
      </c>
      <c r="J20" s="67">
        <f t="shared" si="0"/>
        <v>0.71</v>
      </c>
      <c r="K20" s="67">
        <f t="shared" si="0"/>
        <v>0.68500000000000005</v>
      </c>
      <c r="L20" s="67">
        <f t="shared" si="0"/>
        <v>0.66</v>
      </c>
      <c r="M20" s="67">
        <f t="shared" si="0"/>
        <v>0.64</v>
      </c>
      <c r="N20" s="67">
        <f t="shared" si="0"/>
        <v>0.62</v>
      </c>
      <c r="O20" s="47"/>
    </row>
    <row r="21" spans="1:15" x14ac:dyDescent="0.2">
      <c r="A21" s="47"/>
      <c r="B21" s="155">
        <v>9.5</v>
      </c>
      <c r="C21" s="68">
        <f t="shared" ref="C21:E26" si="1">C44^$B$32</f>
        <v>0.97499999999999998</v>
      </c>
      <c r="D21" s="69">
        <f t="shared" si="1"/>
        <v>0.92500000000000004</v>
      </c>
      <c r="E21" s="69">
        <f t="shared" si="1"/>
        <v>0.875</v>
      </c>
      <c r="F21" s="69">
        <f t="shared" ref="F21:M26" si="2">F44^$B$37</f>
        <v>0.82499999999999996</v>
      </c>
      <c r="G21" s="69">
        <f t="shared" si="2"/>
        <v>0.78500000000000003</v>
      </c>
      <c r="H21" s="69">
        <f t="shared" si="2"/>
        <v>0.755</v>
      </c>
      <c r="I21" s="69">
        <f t="shared" si="2"/>
        <v>0.72499999999999998</v>
      </c>
      <c r="J21" s="69">
        <f t="shared" si="2"/>
        <v>0.69750000000000001</v>
      </c>
      <c r="K21" s="69">
        <f t="shared" si="2"/>
        <v>0.6725000000000001</v>
      </c>
      <c r="L21" s="69">
        <f t="shared" si="2"/>
        <v>0.65</v>
      </c>
      <c r="M21" s="69">
        <f t="shared" si="2"/>
        <v>0.63</v>
      </c>
      <c r="N21" s="69" t="str">
        <f>IF(OR(N20="-",N22="-"),"-",AVERAGE(N20,N22))</f>
        <v>-</v>
      </c>
      <c r="O21" s="47"/>
    </row>
    <row r="22" spans="1:15" x14ac:dyDescent="0.2">
      <c r="A22" s="47"/>
      <c r="B22" s="155">
        <v>9</v>
      </c>
      <c r="C22" s="70">
        <f t="shared" si="1"/>
        <v>0.95</v>
      </c>
      <c r="D22" s="71">
        <f t="shared" si="1"/>
        <v>0.9</v>
      </c>
      <c r="E22" s="71">
        <f t="shared" si="1"/>
        <v>0.85</v>
      </c>
      <c r="F22" s="71">
        <f t="shared" si="2"/>
        <v>0.8</v>
      </c>
      <c r="G22" s="71">
        <f t="shared" si="2"/>
        <v>0.77</v>
      </c>
      <c r="H22" s="71">
        <f t="shared" si="2"/>
        <v>0.74</v>
      </c>
      <c r="I22" s="71">
        <f t="shared" si="2"/>
        <v>0.71</v>
      </c>
      <c r="J22" s="71">
        <f t="shared" si="2"/>
        <v>0.68500000000000005</v>
      </c>
      <c r="K22" s="71">
        <f t="shared" si="2"/>
        <v>0.66</v>
      </c>
      <c r="L22" s="71">
        <f t="shared" si="2"/>
        <v>0.64</v>
      </c>
      <c r="M22" s="71">
        <f t="shared" si="2"/>
        <v>0.62</v>
      </c>
      <c r="N22" s="71" t="str">
        <f>IF(O20&gt;0,O20,"-")</f>
        <v>-</v>
      </c>
      <c r="O22" s="47"/>
    </row>
    <row r="23" spans="1:15" x14ac:dyDescent="0.2">
      <c r="A23" s="47"/>
      <c r="B23" s="155">
        <v>8.5</v>
      </c>
      <c r="C23" s="68">
        <f t="shared" si="1"/>
        <v>0.92500000000000004</v>
      </c>
      <c r="D23" s="69">
        <f t="shared" si="1"/>
        <v>0.875</v>
      </c>
      <c r="E23" s="69">
        <f t="shared" si="1"/>
        <v>0.82499999999999996</v>
      </c>
      <c r="F23" s="69">
        <f t="shared" si="2"/>
        <v>0.78500000000000003</v>
      </c>
      <c r="G23" s="69">
        <f t="shared" si="2"/>
        <v>0.755</v>
      </c>
      <c r="H23" s="69">
        <f t="shared" si="2"/>
        <v>0.72499999999999998</v>
      </c>
      <c r="I23" s="69">
        <f t="shared" si="2"/>
        <v>0.69750000000000001</v>
      </c>
      <c r="J23" s="69">
        <f t="shared" si="2"/>
        <v>0.6725000000000001</v>
      </c>
      <c r="K23" s="69">
        <f t="shared" si="2"/>
        <v>0.65</v>
      </c>
      <c r="L23" s="69">
        <f t="shared" si="2"/>
        <v>0.63</v>
      </c>
      <c r="M23" s="69" t="str">
        <f>IF(OR(M22="-",M24="-"),"-",AVERAGE(M22,M24))</f>
        <v>-</v>
      </c>
      <c r="N23" s="69" t="str">
        <f>IF(OR(N22="-",N24="-"),"-",AVERAGE(N22,N24))</f>
        <v>-</v>
      </c>
      <c r="O23" s="47"/>
    </row>
    <row r="24" spans="1:15" x14ac:dyDescent="0.2">
      <c r="A24" s="47"/>
      <c r="B24" s="155">
        <v>8</v>
      </c>
      <c r="C24" s="70">
        <f t="shared" si="1"/>
        <v>0.9</v>
      </c>
      <c r="D24" s="71">
        <f t="shared" si="1"/>
        <v>0.85</v>
      </c>
      <c r="E24" s="71">
        <f t="shared" si="1"/>
        <v>0.8</v>
      </c>
      <c r="F24" s="71">
        <f t="shared" si="2"/>
        <v>0.77</v>
      </c>
      <c r="G24" s="71">
        <f t="shared" si="2"/>
        <v>0.74</v>
      </c>
      <c r="H24" s="71">
        <f t="shared" si="2"/>
        <v>0.71</v>
      </c>
      <c r="I24" s="71">
        <f t="shared" si="2"/>
        <v>0.68500000000000005</v>
      </c>
      <c r="J24" s="71">
        <f t="shared" si="2"/>
        <v>0.66</v>
      </c>
      <c r="K24" s="71">
        <f t="shared" si="2"/>
        <v>0.64</v>
      </c>
      <c r="L24" s="71">
        <f t="shared" si="2"/>
        <v>0.62</v>
      </c>
      <c r="M24" s="71" t="str">
        <f>IF(N22&gt;0,N22,"-")</f>
        <v>-</v>
      </c>
      <c r="N24" s="71" t="str">
        <f>IF(O22&gt;0,O22,"-")</f>
        <v>-</v>
      </c>
      <c r="O24" s="47"/>
    </row>
    <row r="25" spans="1:15" x14ac:dyDescent="0.2">
      <c r="A25" s="47"/>
      <c r="B25" s="155">
        <v>7</v>
      </c>
      <c r="C25" s="68">
        <f t="shared" si="1"/>
        <v>0.85</v>
      </c>
      <c r="D25" s="69">
        <f t="shared" si="1"/>
        <v>0.8</v>
      </c>
      <c r="E25" s="69">
        <f t="shared" si="1"/>
        <v>0.77</v>
      </c>
      <c r="F25" s="69">
        <f t="shared" si="2"/>
        <v>0.74</v>
      </c>
      <c r="G25" s="69">
        <f t="shared" si="2"/>
        <v>0.71</v>
      </c>
      <c r="H25" s="69">
        <f t="shared" si="2"/>
        <v>0.68500000000000005</v>
      </c>
      <c r="I25" s="69">
        <f t="shared" si="2"/>
        <v>0.66</v>
      </c>
      <c r="J25" s="69">
        <f t="shared" si="2"/>
        <v>0.64</v>
      </c>
      <c r="K25" s="69">
        <f t="shared" si="2"/>
        <v>0.62</v>
      </c>
      <c r="L25" s="69" t="str">
        <f t="shared" ref="K25:N26" si="3">IF(M24&gt;0,M24,"-")</f>
        <v>-</v>
      </c>
      <c r="M25" s="69" t="str">
        <f t="shared" si="3"/>
        <v>-</v>
      </c>
      <c r="N25" s="69" t="str">
        <f t="shared" si="3"/>
        <v>-</v>
      </c>
      <c r="O25" s="47"/>
    </row>
    <row r="26" spans="1:15" x14ac:dyDescent="0.2">
      <c r="A26" s="47"/>
      <c r="B26" s="155">
        <v>6</v>
      </c>
      <c r="C26" s="70">
        <f t="shared" si="1"/>
        <v>0.8</v>
      </c>
      <c r="D26" s="71">
        <f t="shared" si="1"/>
        <v>0.77</v>
      </c>
      <c r="E26" s="71">
        <f t="shared" si="1"/>
        <v>0.74</v>
      </c>
      <c r="F26" s="71">
        <f t="shared" si="2"/>
        <v>0.71</v>
      </c>
      <c r="G26" s="71">
        <f t="shared" si="2"/>
        <v>0.68500000000000005</v>
      </c>
      <c r="H26" s="71">
        <f t="shared" si="2"/>
        <v>0.66</v>
      </c>
      <c r="I26" s="71">
        <f t="shared" si="2"/>
        <v>0.64</v>
      </c>
      <c r="J26" s="71">
        <f t="shared" si="2"/>
        <v>0.62</v>
      </c>
      <c r="K26" s="72" t="str">
        <f t="shared" si="3"/>
        <v>-</v>
      </c>
      <c r="L26" s="72" t="str">
        <f t="shared" si="3"/>
        <v>-</v>
      </c>
      <c r="M26" s="72" t="str">
        <f t="shared" si="3"/>
        <v>-</v>
      </c>
      <c r="N26" s="72" t="str">
        <f t="shared" si="3"/>
        <v>-</v>
      </c>
      <c r="O26" s="47"/>
    </row>
    <row r="27" spans="1:15" x14ac:dyDescent="0.2">
      <c r="A27" s="47"/>
      <c r="B27" s="47"/>
      <c r="C27" s="47"/>
      <c r="D27" s="47"/>
      <c r="E27" s="47"/>
      <c r="F27" s="47"/>
      <c r="G27" s="47"/>
      <c r="H27" s="47"/>
      <c r="I27" s="47"/>
      <c r="J27" s="47"/>
      <c r="K27" s="47"/>
      <c r="L27" s="47"/>
      <c r="M27" s="47"/>
      <c r="N27" s="47"/>
      <c r="O27" s="47"/>
    </row>
    <row r="28" spans="1:15" ht="21.75" x14ac:dyDescent="0.3">
      <c r="A28" s="47"/>
      <c r="B28" s="47"/>
      <c r="C28" s="47"/>
      <c r="D28" s="47"/>
      <c r="E28" s="47"/>
      <c r="F28" s="47"/>
      <c r="G28" s="249"/>
      <c r="H28" s="249"/>
      <c r="I28" s="249"/>
      <c r="J28" s="249"/>
      <c r="K28" s="47"/>
      <c r="L28" s="47"/>
      <c r="M28" s="47"/>
      <c r="N28" s="47"/>
      <c r="O28" s="47"/>
    </row>
    <row r="29" spans="1:15" x14ac:dyDescent="0.2">
      <c r="A29" s="49" t="s">
        <v>189</v>
      </c>
      <c r="B29" s="49"/>
      <c r="C29" s="49"/>
      <c r="D29" s="49"/>
      <c r="E29" s="49"/>
      <c r="F29" s="49"/>
      <c r="G29" s="49"/>
      <c r="H29" s="49"/>
      <c r="I29" s="49"/>
      <c r="J29" s="49"/>
      <c r="K29" s="49"/>
      <c r="L29" s="49"/>
      <c r="M29" s="49"/>
      <c r="N29" s="49"/>
      <c r="O29" s="49"/>
    </row>
    <row r="30" spans="1:15" x14ac:dyDescent="0.2">
      <c r="A30" s="50"/>
      <c r="B30" s="51"/>
      <c r="C30" s="51"/>
      <c r="D30" s="51"/>
      <c r="E30" s="51"/>
      <c r="F30" s="51"/>
      <c r="G30" s="51"/>
      <c r="H30" s="51"/>
      <c r="I30" s="51"/>
      <c r="J30" s="51"/>
      <c r="K30" s="51"/>
      <c r="L30" s="51"/>
      <c r="M30" s="51"/>
      <c r="N30" s="51"/>
      <c r="O30" s="52"/>
    </row>
    <row r="31" spans="1:15" x14ac:dyDescent="0.2">
      <c r="A31" s="53" t="s">
        <v>190</v>
      </c>
      <c r="B31" s="54" t="s">
        <v>191</v>
      </c>
      <c r="C31" s="55"/>
      <c r="D31" s="55"/>
      <c r="E31" s="56" t="s">
        <v>192</v>
      </c>
      <c r="F31" s="55"/>
      <c r="G31" s="55"/>
      <c r="H31" s="56" t="s">
        <v>193</v>
      </c>
      <c r="I31" s="57" t="s">
        <v>194</v>
      </c>
      <c r="J31" s="55"/>
      <c r="K31" s="55"/>
      <c r="L31" s="55"/>
      <c r="M31" s="55"/>
      <c r="N31" s="55"/>
      <c r="O31" s="58"/>
    </row>
    <row r="32" spans="1:15" x14ac:dyDescent="0.2">
      <c r="A32" s="53" t="s">
        <v>195</v>
      </c>
      <c r="B32" s="59">
        <v>1</v>
      </c>
      <c r="C32" s="55" t="s">
        <v>196</v>
      </c>
      <c r="D32" s="55"/>
      <c r="E32" s="56" t="s">
        <v>197</v>
      </c>
      <c r="F32" s="55"/>
      <c r="G32" s="55"/>
      <c r="H32" s="56" t="s">
        <v>198</v>
      </c>
      <c r="I32" s="57" t="s">
        <v>199</v>
      </c>
      <c r="J32" s="55"/>
      <c r="K32" s="55"/>
      <c r="L32" s="55"/>
      <c r="M32" s="55"/>
      <c r="N32" s="55"/>
      <c r="O32" s="58"/>
    </row>
    <row r="33" spans="1:15" x14ac:dyDescent="0.2">
      <c r="A33" s="60"/>
      <c r="B33" s="61"/>
      <c r="C33" s="61"/>
      <c r="D33" s="61"/>
      <c r="E33" s="61"/>
      <c r="F33" s="61"/>
      <c r="G33" s="61"/>
      <c r="H33" s="61"/>
      <c r="I33" s="61"/>
      <c r="J33" s="61"/>
      <c r="K33" s="61"/>
      <c r="L33" s="61"/>
      <c r="M33" s="61"/>
      <c r="N33" s="61"/>
      <c r="O33" s="62"/>
    </row>
    <row r="34" spans="1:15" x14ac:dyDescent="0.2">
      <c r="A34" s="49" t="s">
        <v>200</v>
      </c>
      <c r="B34" s="49"/>
      <c r="C34" s="49"/>
      <c r="D34" s="49"/>
      <c r="E34" s="49"/>
      <c r="F34" s="49"/>
      <c r="G34" s="49"/>
      <c r="H34" s="49"/>
      <c r="I34" s="49"/>
      <c r="J34" s="49"/>
      <c r="K34" s="49"/>
      <c r="L34" s="49"/>
      <c r="M34" s="49"/>
      <c r="N34" s="49"/>
      <c r="O34" s="49"/>
    </row>
    <row r="35" spans="1:15" x14ac:dyDescent="0.2">
      <c r="A35" s="50"/>
      <c r="B35" s="51"/>
      <c r="C35" s="51"/>
      <c r="D35" s="51"/>
      <c r="E35" s="51"/>
      <c r="F35" s="51"/>
      <c r="G35" s="51"/>
      <c r="H35" s="51"/>
      <c r="I35" s="51"/>
      <c r="J35" s="51"/>
      <c r="K35" s="51"/>
      <c r="L35" s="51"/>
      <c r="M35" s="51"/>
      <c r="N35" s="51"/>
      <c r="O35" s="52"/>
    </row>
    <row r="36" spans="1:15" x14ac:dyDescent="0.2">
      <c r="A36" s="53" t="s">
        <v>190</v>
      </c>
      <c r="B36" s="54" t="s">
        <v>191</v>
      </c>
      <c r="C36" s="55"/>
      <c r="D36" s="55"/>
      <c r="E36" s="56" t="s">
        <v>192</v>
      </c>
      <c r="F36" s="55"/>
      <c r="G36" s="55"/>
      <c r="H36" s="56" t="s">
        <v>193</v>
      </c>
      <c r="I36" s="57" t="s">
        <v>194</v>
      </c>
      <c r="J36" s="55"/>
      <c r="K36" s="55"/>
      <c r="L36" s="55"/>
      <c r="M36" s="55"/>
      <c r="N36" s="55"/>
      <c r="O36" s="58"/>
    </row>
    <row r="37" spans="1:15" x14ac:dyDescent="0.2">
      <c r="A37" s="53" t="s">
        <v>195</v>
      </c>
      <c r="B37" s="59">
        <v>1</v>
      </c>
      <c r="C37" s="55" t="s">
        <v>196</v>
      </c>
      <c r="D37" s="55"/>
      <c r="E37" s="56" t="s">
        <v>197</v>
      </c>
      <c r="F37" s="55"/>
      <c r="G37" s="55"/>
      <c r="H37" s="56" t="s">
        <v>198</v>
      </c>
      <c r="I37" s="57" t="s">
        <v>199</v>
      </c>
      <c r="J37" s="55"/>
      <c r="K37" s="55"/>
      <c r="L37" s="55"/>
      <c r="M37" s="55"/>
      <c r="N37" s="55"/>
      <c r="O37" s="58"/>
    </row>
    <row r="38" spans="1:15" x14ac:dyDescent="0.2">
      <c r="A38" s="60"/>
      <c r="B38" s="61"/>
      <c r="C38" s="61"/>
      <c r="D38" s="61"/>
      <c r="E38" s="61"/>
      <c r="F38" s="61"/>
      <c r="G38" s="61"/>
      <c r="H38" s="61"/>
      <c r="I38" s="61"/>
      <c r="J38" s="61"/>
      <c r="K38" s="61"/>
      <c r="L38" s="61"/>
      <c r="M38" s="61"/>
      <c r="N38" s="61"/>
      <c r="O38" s="62"/>
    </row>
    <row r="39" spans="1:15" x14ac:dyDescent="0.2">
      <c r="A39" s="63"/>
      <c r="B39" s="63"/>
      <c r="C39" s="47"/>
      <c r="D39" s="47"/>
      <c r="E39" s="47"/>
      <c r="F39" s="47"/>
      <c r="G39" s="47"/>
      <c r="H39" s="47"/>
      <c r="I39" s="47"/>
      <c r="J39" s="47"/>
      <c r="K39" s="47"/>
      <c r="L39" s="47"/>
      <c r="M39" s="47"/>
      <c r="N39" s="47"/>
      <c r="O39" s="47"/>
    </row>
    <row r="40" spans="1:15" x14ac:dyDescent="0.2">
      <c r="A40" s="47"/>
      <c r="B40" s="47"/>
      <c r="C40" s="47"/>
      <c r="D40" s="47"/>
      <c r="E40" s="47"/>
      <c r="F40" s="47"/>
      <c r="G40" s="250" t="s">
        <v>201</v>
      </c>
      <c r="H40" s="250"/>
      <c r="I40" s="250"/>
      <c r="J40" s="250"/>
      <c r="K40" s="47"/>
      <c r="L40" s="47"/>
      <c r="M40" s="47"/>
      <c r="N40" s="47"/>
      <c r="O40" s="47"/>
    </row>
    <row r="41" spans="1:15" x14ac:dyDescent="0.2">
      <c r="A41" s="47"/>
      <c r="B41" s="242" t="s">
        <v>187</v>
      </c>
      <c r="C41" s="243" t="s">
        <v>38</v>
      </c>
      <c r="D41" s="243"/>
      <c r="E41" s="243"/>
      <c r="F41" s="243"/>
      <c r="G41" s="243"/>
      <c r="H41" s="243"/>
      <c r="I41" s="243"/>
      <c r="J41" s="243"/>
      <c r="K41" s="243"/>
      <c r="L41" s="243"/>
      <c r="M41" s="243"/>
      <c r="N41" s="243"/>
      <c r="O41" s="47"/>
    </row>
    <row r="42" spans="1:15" x14ac:dyDescent="0.2">
      <c r="A42" s="47"/>
      <c r="B42" s="242" t="s">
        <v>187</v>
      </c>
      <c r="C42" s="155">
        <v>1</v>
      </c>
      <c r="D42" s="155">
        <v>2</v>
      </c>
      <c r="E42" s="155">
        <v>3</v>
      </c>
      <c r="F42" s="155">
        <v>4</v>
      </c>
      <c r="G42" s="155">
        <v>5</v>
      </c>
      <c r="H42" s="155">
        <v>6</v>
      </c>
      <c r="I42" s="155">
        <v>7</v>
      </c>
      <c r="J42" s="155">
        <v>8</v>
      </c>
      <c r="K42" s="155">
        <v>9</v>
      </c>
      <c r="L42" s="155">
        <v>10</v>
      </c>
      <c r="M42" s="155">
        <v>11</v>
      </c>
      <c r="N42" s="155">
        <v>12</v>
      </c>
      <c r="O42" s="47"/>
    </row>
    <row r="43" spans="1:15" x14ac:dyDescent="0.2">
      <c r="A43" s="47"/>
      <c r="B43" s="155">
        <v>10</v>
      </c>
      <c r="C43" s="66">
        <v>1</v>
      </c>
      <c r="D43" s="67">
        <v>0.95</v>
      </c>
      <c r="E43" s="67">
        <v>0.9</v>
      </c>
      <c r="F43" s="67">
        <v>0.85</v>
      </c>
      <c r="G43" s="67">
        <v>0.8</v>
      </c>
      <c r="H43" s="67">
        <v>0.77</v>
      </c>
      <c r="I43" s="67">
        <v>0.74</v>
      </c>
      <c r="J43" s="67">
        <v>0.71</v>
      </c>
      <c r="K43" s="67">
        <f>AVERAGE(J43,L43)</f>
        <v>0.68500000000000005</v>
      </c>
      <c r="L43" s="67">
        <v>0.66</v>
      </c>
      <c r="M43" s="67">
        <f>AVERAGE(L43,N43)</f>
        <v>0.64</v>
      </c>
      <c r="N43" s="67">
        <v>0.62</v>
      </c>
      <c r="O43" s="47"/>
    </row>
    <row r="44" spans="1:15" x14ac:dyDescent="0.2">
      <c r="A44" s="47"/>
      <c r="B44" s="155">
        <v>9.5</v>
      </c>
      <c r="C44" s="68">
        <f>IF(OR(C43="-",C45="-"),"-",AVERAGE(C43,C45))</f>
        <v>0.97499999999999998</v>
      </c>
      <c r="D44" s="69">
        <f t="shared" ref="D44:L44" si="4">IF(OR(D43="-",D45="-"),"-",AVERAGE(D43,D45))</f>
        <v>0.92500000000000004</v>
      </c>
      <c r="E44" s="69">
        <f t="shared" si="4"/>
        <v>0.875</v>
      </c>
      <c r="F44" s="69">
        <f t="shared" si="4"/>
        <v>0.82499999999999996</v>
      </c>
      <c r="G44" s="69">
        <f t="shared" si="4"/>
        <v>0.78500000000000003</v>
      </c>
      <c r="H44" s="69">
        <f t="shared" si="4"/>
        <v>0.755</v>
      </c>
      <c r="I44" s="69">
        <f t="shared" si="4"/>
        <v>0.72499999999999998</v>
      </c>
      <c r="J44" s="69">
        <f t="shared" si="4"/>
        <v>0.69750000000000001</v>
      </c>
      <c r="K44" s="69">
        <f t="shared" si="4"/>
        <v>0.6725000000000001</v>
      </c>
      <c r="L44" s="69">
        <f t="shared" si="4"/>
        <v>0.65</v>
      </c>
      <c r="M44" s="69">
        <f>IF(OR(M43="-",M45="-"),"-",AVERAGE(M43,M45))</f>
        <v>0.63</v>
      </c>
      <c r="N44" s="69" t="str">
        <f>IF(OR(N43="-",N45="-"),"-",AVERAGE(N43,N45))</f>
        <v>-</v>
      </c>
      <c r="O44" s="47"/>
    </row>
    <row r="45" spans="1:15" x14ac:dyDescent="0.2">
      <c r="A45" s="47"/>
      <c r="B45" s="155">
        <v>9</v>
      </c>
      <c r="C45" s="70">
        <f t="shared" ref="C45:K45" si="5">IF(D43&gt;0,D43,"-")</f>
        <v>0.95</v>
      </c>
      <c r="D45" s="71">
        <f t="shared" si="5"/>
        <v>0.9</v>
      </c>
      <c r="E45" s="71">
        <f t="shared" si="5"/>
        <v>0.85</v>
      </c>
      <c r="F45" s="71">
        <f t="shared" si="5"/>
        <v>0.8</v>
      </c>
      <c r="G45" s="71">
        <f t="shared" si="5"/>
        <v>0.77</v>
      </c>
      <c r="H45" s="71">
        <f t="shared" si="5"/>
        <v>0.74</v>
      </c>
      <c r="I45" s="71">
        <f t="shared" si="5"/>
        <v>0.71</v>
      </c>
      <c r="J45" s="71">
        <f t="shared" si="5"/>
        <v>0.68500000000000005</v>
      </c>
      <c r="K45" s="71">
        <f t="shared" si="5"/>
        <v>0.66</v>
      </c>
      <c r="L45" s="71">
        <f>IF(M43&gt;0,M43,"-")</f>
        <v>0.64</v>
      </c>
      <c r="M45" s="71">
        <f>IF(N43&gt;0,N43,"-")</f>
        <v>0.62</v>
      </c>
      <c r="N45" s="71" t="str">
        <f>IF(O39&gt;0,O39,"-")</f>
        <v>-</v>
      </c>
      <c r="O45" s="47"/>
    </row>
    <row r="46" spans="1:15" x14ac:dyDescent="0.2">
      <c r="A46" s="47"/>
      <c r="B46" s="155">
        <v>8.5</v>
      </c>
      <c r="C46" s="68">
        <f t="shared" ref="C46:L46" si="6">IF(OR(C45="-",C47="-"),"-",AVERAGE(C45,C47))</f>
        <v>0.92500000000000004</v>
      </c>
      <c r="D46" s="69">
        <f t="shared" si="6"/>
        <v>0.875</v>
      </c>
      <c r="E46" s="69">
        <f t="shared" si="6"/>
        <v>0.82499999999999996</v>
      </c>
      <c r="F46" s="69">
        <f t="shared" si="6"/>
        <v>0.78500000000000003</v>
      </c>
      <c r="G46" s="69">
        <f t="shared" si="6"/>
        <v>0.755</v>
      </c>
      <c r="H46" s="69">
        <f t="shared" si="6"/>
        <v>0.72499999999999998</v>
      </c>
      <c r="I46" s="69">
        <f t="shared" si="6"/>
        <v>0.69750000000000001</v>
      </c>
      <c r="J46" s="69">
        <f t="shared" si="6"/>
        <v>0.6725000000000001</v>
      </c>
      <c r="K46" s="69">
        <f t="shared" si="6"/>
        <v>0.65</v>
      </c>
      <c r="L46" s="69">
        <f t="shared" si="6"/>
        <v>0.63</v>
      </c>
      <c r="M46" s="69" t="str">
        <f>IF(OR(M45="-",M47="-"),"-",AVERAGE(M45,M47))</f>
        <v>-</v>
      </c>
      <c r="N46" s="69" t="s">
        <v>188</v>
      </c>
      <c r="O46" s="47"/>
    </row>
    <row r="47" spans="1:15" x14ac:dyDescent="0.2">
      <c r="A47" s="47"/>
      <c r="B47" s="155">
        <v>8</v>
      </c>
      <c r="C47" s="70">
        <f t="shared" ref="C47:K47" si="7">IF(D45&gt;0,D45,"-")</f>
        <v>0.9</v>
      </c>
      <c r="D47" s="71">
        <f t="shared" si="7"/>
        <v>0.85</v>
      </c>
      <c r="E47" s="71">
        <f t="shared" si="7"/>
        <v>0.8</v>
      </c>
      <c r="F47" s="71">
        <f t="shared" si="7"/>
        <v>0.77</v>
      </c>
      <c r="G47" s="71">
        <f t="shared" si="7"/>
        <v>0.74</v>
      </c>
      <c r="H47" s="71">
        <f t="shared" si="7"/>
        <v>0.71</v>
      </c>
      <c r="I47" s="71">
        <f t="shared" si="7"/>
        <v>0.68500000000000005</v>
      </c>
      <c r="J47" s="71">
        <f t="shared" si="7"/>
        <v>0.66</v>
      </c>
      <c r="K47" s="71">
        <f t="shared" si="7"/>
        <v>0.64</v>
      </c>
      <c r="L47" s="71">
        <f>IF(M45&gt;0,M45,"-")</f>
        <v>0.62</v>
      </c>
      <c r="M47" s="71" t="str">
        <f>IF(N45&gt;0,N45,"-")</f>
        <v>-</v>
      </c>
      <c r="N47" s="71" t="s">
        <v>188</v>
      </c>
      <c r="O47" s="47"/>
    </row>
    <row r="48" spans="1:15" x14ac:dyDescent="0.2">
      <c r="A48" s="47"/>
      <c r="B48" s="155">
        <v>7</v>
      </c>
      <c r="C48" s="68">
        <f t="shared" ref="C48:K49" si="8">IF(D47&gt;0,D47,"-")</f>
        <v>0.85</v>
      </c>
      <c r="D48" s="69">
        <f t="shared" si="8"/>
        <v>0.8</v>
      </c>
      <c r="E48" s="69">
        <f t="shared" si="8"/>
        <v>0.77</v>
      </c>
      <c r="F48" s="69">
        <f t="shared" si="8"/>
        <v>0.74</v>
      </c>
      <c r="G48" s="69">
        <f t="shared" si="8"/>
        <v>0.71</v>
      </c>
      <c r="H48" s="69">
        <f t="shared" si="8"/>
        <v>0.68500000000000005</v>
      </c>
      <c r="I48" s="69">
        <f t="shared" si="8"/>
        <v>0.66</v>
      </c>
      <c r="J48" s="69">
        <f t="shared" si="8"/>
        <v>0.64</v>
      </c>
      <c r="K48" s="69">
        <f t="shared" si="8"/>
        <v>0.62</v>
      </c>
      <c r="L48" s="69" t="str">
        <f>IF(M47&gt;0,M47,"-")</f>
        <v>-</v>
      </c>
      <c r="M48" s="69" t="str">
        <f>IF(N47&gt;0,N47,"-")</f>
        <v>-</v>
      </c>
      <c r="N48" s="69" t="s">
        <v>188</v>
      </c>
      <c r="O48" s="47"/>
    </row>
    <row r="49" spans="1:15" x14ac:dyDescent="0.2">
      <c r="A49" s="47"/>
      <c r="B49" s="155">
        <v>6</v>
      </c>
      <c r="C49" s="70">
        <f t="shared" si="8"/>
        <v>0.8</v>
      </c>
      <c r="D49" s="71">
        <f t="shared" si="8"/>
        <v>0.77</v>
      </c>
      <c r="E49" s="71">
        <f t="shared" si="8"/>
        <v>0.74</v>
      </c>
      <c r="F49" s="71">
        <f t="shared" si="8"/>
        <v>0.71</v>
      </c>
      <c r="G49" s="71">
        <f t="shared" si="8"/>
        <v>0.68500000000000005</v>
      </c>
      <c r="H49" s="71">
        <f t="shared" si="8"/>
        <v>0.66</v>
      </c>
      <c r="I49" s="71">
        <f t="shared" si="8"/>
        <v>0.64</v>
      </c>
      <c r="J49" s="71">
        <f t="shared" si="8"/>
        <v>0.62</v>
      </c>
      <c r="K49" s="72" t="str">
        <f t="shared" si="8"/>
        <v>-</v>
      </c>
      <c r="L49" s="72" t="str">
        <f>IF(M48&gt;0,M48,"-")</f>
        <v>-</v>
      </c>
      <c r="M49" s="72" t="str">
        <f>IF(N48&gt;0,N48,"-")</f>
        <v>-</v>
      </c>
      <c r="N49" s="72" t="s">
        <v>188</v>
      </c>
      <c r="O49" s="47"/>
    </row>
    <row r="50" spans="1:15" x14ac:dyDescent="0.2">
      <c r="A50" s="47"/>
      <c r="B50" s="47"/>
      <c r="C50" s="47"/>
      <c r="D50" s="47"/>
      <c r="E50" s="47"/>
      <c r="F50" s="47"/>
      <c r="G50" s="47"/>
      <c r="H50" s="47"/>
      <c r="I50" s="47"/>
      <c r="J50" s="47"/>
      <c r="K50" s="47"/>
      <c r="L50" s="47"/>
      <c r="M50" s="47"/>
      <c r="N50" s="47"/>
      <c r="O50" s="47"/>
    </row>
  </sheetData>
  <sheetProtection password="8867" sheet="1" objects="1" scenarios="1" formatCells="0" formatColumns="0" formatRows="0" insertColumns="0" insertRows="0"/>
  <mergeCells count="13">
    <mergeCell ref="B18:B19"/>
    <mergeCell ref="C18:N18"/>
    <mergeCell ref="G28:J28"/>
    <mergeCell ref="G40:J40"/>
    <mergeCell ref="B41:B42"/>
    <mergeCell ref="C41:N41"/>
    <mergeCell ref="B7:B8"/>
    <mergeCell ref="C7:N7"/>
    <mergeCell ref="F4:G4"/>
    <mergeCell ref="H4:J4"/>
    <mergeCell ref="F5:G5"/>
    <mergeCell ref="H5:J5"/>
    <mergeCell ref="K5:L5"/>
  </mergeCells>
  <phoneticPr fontId="1" type="noConversion"/>
  <dataValidations count="1">
    <dataValidation type="list" allowBlank="1" showInputMessage="1" showErrorMessage="1" sqref="H4:J4" xr:uid="{00000000-0002-0000-0600-000000000000}">
      <formula1>"Squat, Bench, Deadlift, OHP, Chins"</formula1>
    </dataValidation>
  </dataValidations>
  <pageMargins left="0.48556430446194226" right="0.54221347331583547" top="0.59842519685039375" bottom="0.75000000000000011" header="0.15277777777777779" footer="0.30000000000000004"/>
  <pageSetup paperSize="9" scale="65" orientation="portrait" horizontalDpi="4294967292" verticalDpi="4294967292" r:id="rId1"/>
  <headerFooter>
    <oddHeader xml:space="preserve">&amp;C&amp;G&amp;R&amp;"Fira Sans,Regular"RM Calculator&amp;"URW Gothic L Book,Regular"
</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21F96-0F0B-4417-83C9-53AF0560C538}">
  <sheetPr>
    <tabColor rgb="FFCC0000"/>
  </sheetPr>
  <dimension ref="A1:L72"/>
  <sheetViews>
    <sheetView showGridLines="0" workbookViewId="0">
      <selection activeCell="L32" sqref="L32"/>
    </sheetView>
  </sheetViews>
  <sheetFormatPr defaultColWidth="8.875" defaultRowHeight="15" x14ac:dyDescent="0.2"/>
  <sheetData>
    <row r="1" spans="1:12" x14ac:dyDescent="0.2">
      <c r="A1" s="254" t="s">
        <v>202</v>
      </c>
      <c r="B1" s="254"/>
      <c r="C1" s="254"/>
      <c r="D1" s="254"/>
      <c r="E1" s="254"/>
      <c r="F1" s="254"/>
      <c r="G1" s="254"/>
      <c r="H1" s="254"/>
      <c r="I1" s="254"/>
      <c r="J1" s="254"/>
      <c r="K1" s="254"/>
      <c r="L1" s="254"/>
    </row>
    <row r="2" spans="1:12" x14ac:dyDescent="0.2">
      <c r="A2" s="254"/>
      <c r="B2" s="254"/>
      <c r="C2" s="254"/>
      <c r="D2" s="254"/>
      <c r="E2" s="254"/>
      <c r="F2" s="254"/>
      <c r="G2" s="254"/>
      <c r="H2" s="254"/>
      <c r="I2" s="254"/>
      <c r="J2" s="254"/>
      <c r="K2" s="254"/>
      <c r="L2" s="254"/>
    </row>
    <row r="3" spans="1:12" x14ac:dyDescent="0.2">
      <c r="A3" s="254"/>
      <c r="B3" s="254"/>
      <c r="C3" s="254"/>
      <c r="D3" s="254"/>
      <c r="E3" s="254"/>
      <c r="F3" s="254"/>
      <c r="G3" s="254"/>
      <c r="H3" s="254"/>
      <c r="I3" s="254"/>
      <c r="J3" s="254"/>
      <c r="K3" s="254"/>
      <c r="L3" s="254"/>
    </row>
    <row r="6" spans="1:12" x14ac:dyDescent="0.2">
      <c r="A6" s="255" t="s">
        <v>203</v>
      </c>
      <c r="B6" s="255"/>
      <c r="C6" s="255"/>
      <c r="D6" s="255"/>
      <c r="E6" s="255"/>
      <c r="F6" s="255"/>
      <c r="G6" s="255"/>
      <c r="H6" s="255"/>
      <c r="I6" s="255"/>
      <c r="J6" s="255"/>
      <c r="K6" s="255"/>
      <c r="L6" s="255"/>
    </row>
    <row r="7" spans="1:12" x14ac:dyDescent="0.2">
      <c r="A7" s="255"/>
      <c r="B7" s="255"/>
      <c r="C7" s="255"/>
      <c r="D7" s="255"/>
      <c r="E7" s="255"/>
      <c r="F7" s="255"/>
      <c r="G7" s="255"/>
      <c r="H7" s="255"/>
      <c r="I7" s="255"/>
      <c r="J7" s="255"/>
      <c r="K7" s="255"/>
      <c r="L7" s="255"/>
    </row>
    <row r="8" spans="1:12" x14ac:dyDescent="0.2">
      <c r="A8" s="256" t="s">
        <v>204</v>
      </c>
      <c r="B8" s="257"/>
      <c r="C8" s="257"/>
      <c r="D8" s="257"/>
      <c r="E8" s="257"/>
      <c r="F8" s="257"/>
      <c r="G8" s="257"/>
      <c r="H8" s="257"/>
      <c r="I8" s="257"/>
      <c r="J8" s="257"/>
      <c r="K8" s="257"/>
      <c r="L8" s="257"/>
    </row>
    <row r="9" spans="1:12" x14ac:dyDescent="0.2">
      <c r="A9" s="257"/>
      <c r="B9" s="257"/>
      <c r="C9" s="257"/>
      <c r="D9" s="257"/>
      <c r="E9" s="257"/>
      <c r="F9" s="257"/>
      <c r="G9" s="257"/>
      <c r="H9" s="257"/>
      <c r="I9" s="257"/>
      <c r="J9" s="257"/>
      <c r="K9" s="257"/>
      <c r="L9" s="257"/>
    </row>
    <row r="10" spans="1:12" x14ac:dyDescent="0.2">
      <c r="A10" s="257"/>
      <c r="B10" s="257"/>
      <c r="C10" s="257"/>
      <c r="D10" s="257"/>
      <c r="E10" s="257"/>
      <c r="F10" s="257"/>
      <c r="G10" s="257"/>
      <c r="H10" s="257"/>
      <c r="I10" s="257"/>
      <c r="J10" s="257"/>
      <c r="K10" s="257"/>
      <c r="L10" s="257"/>
    </row>
    <row r="11" spans="1:12" x14ac:dyDescent="0.2">
      <c r="A11" s="257"/>
      <c r="B11" s="257"/>
      <c r="C11" s="257"/>
      <c r="D11" s="257"/>
      <c r="E11" s="257"/>
      <c r="F11" s="257"/>
      <c r="G11" s="257"/>
      <c r="H11" s="257"/>
      <c r="I11" s="257"/>
      <c r="J11" s="257"/>
      <c r="K11" s="257"/>
      <c r="L11" s="257"/>
    </row>
    <row r="12" spans="1:12" x14ac:dyDescent="0.2">
      <c r="A12" s="257"/>
      <c r="B12" s="257"/>
      <c r="C12" s="257"/>
      <c r="D12" s="257"/>
      <c r="E12" s="257"/>
      <c r="F12" s="257"/>
      <c r="G12" s="257"/>
      <c r="H12" s="257"/>
      <c r="I12" s="257"/>
      <c r="J12" s="257"/>
      <c r="K12" s="257"/>
      <c r="L12" s="257"/>
    </row>
    <row r="13" spans="1:12" x14ac:dyDescent="0.2">
      <c r="A13" s="156"/>
      <c r="B13" s="156"/>
      <c r="C13" s="156"/>
      <c r="D13" s="156"/>
      <c r="E13" s="156"/>
      <c r="F13" s="156"/>
      <c r="G13" s="156"/>
      <c r="H13" s="156"/>
      <c r="I13" s="156"/>
      <c r="J13" s="156"/>
      <c r="K13" s="156"/>
      <c r="L13" s="156"/>
    </row>
    <row r="14" spans="1:12" x14ac:dyDescent="0.2">
      <c r="A14" s="258" t="s">
        <v>205</v>
      </c>
      <c r="B14" s="258"/>
      <c r="C14" s="258"/>
      <c r="D14" s="258"/>
      <c r="E14" s="258"/>
      <c r="F14" s="258"/>
      <c r="G14" s="258"/>
      <c r="H14" s="258"/>
    </row>
    <row r="15" spans="1:12" x14ac:dyDescent="0.2">
      <c r="A15" s="258"/>
      <c r="B15" s="258"/>
      <c r="C15" s="258"/>
      <c r="D15" s="258"/>
      <c r="E15" s="258"/>
      <c r="F15" s="258"/>
      <c r="G15" s="258"/>
      <c r="H15" s="258"/>
    </row>
    <row r="16" spans="1:12" x14ac:dyDescent="0.2">
      <c r="A16" s="258" t="s">
        <v>206</v>
      </c>
      <c r="B16" s="258"/>
      <c r="C16" s="258"/>
      <c r="D16" s="258"/>
      <c r="E16" s="258"/>
      <c r="F16" s="258"/>
      <c r="G16" s="258"/>
      <c r="H16" s="258"/>
    </row>
    <row r="17" spans="1:8" x14ac:dyDescent="0.2">
      <c r="A17" s="258"/>
      <c r="B17" s="258"/>
      <c r="C17" s="258"/>
      <c r="D17" s="258"/>
      <c r="E17" s="258"/>
      <c r="F17" s="258"/>
      <c r="G17" s="258"/>
      <c r="H17" s="258"/>
    </row>
    <row r="18" spans="1:8" ht="14.45" customHeight="1" x14ac:dyDescent="0.2">
      <c r="A18" s="259" t="s">
        <v>207</v>
      </c>
      <c r="B18" s="260"/>
      <c r="C18" s="251" t="s">
        <v>208</v>
      </c>
      <c r="D18" s="252"/>
      <c r="E18" s="252"/>
      <c r="F18" s="252"/>
      <c r="G18" s="252"/>
      <c r="H18" s="253"/>
    </row>
    <row r="19" spans="1:8" ht="14.45" customHeight="1" x14ac:dyDescent="0.2">
      <c r="A19" s="261"/>
      <c r="B19" s="262"/>
      <c r="C19" s="251" t="s">
        <v>209</v>
      </c>
      <c r="D19" s="252"/>
      <c r="E19" s="252"/>
      <c r="F19" s="252"/>
      <c r="G19" s="252"/>
      <c r="H19" s="253"/>
    </row>
    <row r="20" spans="1:8" ht="14.45" customHeight="1" x14ac:dyDescent="0.2">
      <c r="A20" s="261"/>
      <c r="B20" s="262"/>
      <c r="C20" s="251" t="s">
        <v>210</v>
      </c>
      <c r="D20" s="252"/>
      <c r="E20" s="252"/>
      <c r="F20" s="252"/>
      <c r="G20" s="252"/>
      <c r="H20" s="253"/>
    </row>
    <row r="21" spans="1:8" ht="14.45" customHeight="1" x14ac:dyDescent="0.2">
      <c r="A21" s="261"/>
      <c r="B21" s="262"/>
      <c r="C21" s="251" t="s">
        <v>211</v>
      </c>
      <c r="D21" s="252"/>
      <c r="E21" s="252"/>
      <c r="F21" s="252"/>
      <c r="G21" s="252"/>
      <c r="H21" s="253"/>
    </row>
    <row r="22" spans="1:8" ht="14.45" customHeight="1" x14ac:dyDescent="0.2">
      <c r="A22" s="261"/>
      <c r="B22" s="262"/>
      <c r="C22" s="251" t="s">
        <v>212</v>
      </c>
      <c r="D22" s="252"/>
      <c r="E22" s="252"/>
      <c r="F22" s="252"/>
      <c r="G22" s="252"/>
      <c r="H22" s="253"/>
    </row>
    <row r="23" spans="1:8" ht="14.45" customHeight="1" x14ac:dyDescent="0.2">
      <c r="A23" s="261"/>
      <c r="B23" s="262"/>
      <c r="C23" s="251" t="s">
        <v>213</v>
      </c>
      <c r="D23" s="252"/>
      <c r="E23" s="252"/>
      <c r="F23" s="252"/>
      <c r="G23" s="252"/>
      <c r="H23" s="253"/>
    </row>
    <row r="24" spans="1:8" ht="14.45" customHeight="1" x14ac:dyDescent="0.2">
      <c r="A24" s="261"/>
      <c r="B24" s="262"/>
      <c r="C24" s="251" t="s">
        <v>214</v>
      </c>
      <c r="D24" s="252"/>
      <c r="E24" s="252"/>
      <c r="F24" s="252"/>
      <c r="G24" s="252"/>
      <c r="H24" s="253"/>
    </row>
    <row r="25" spans="1:8" ht="14.45" customHeight="1" x14ac:dyDescent="0.2">
      <c r="A25" s="261"/>
      <c r="B25" s="262"/>
      <c r="C25" s="251" t="s">
        <v>215</v>
      </c>
      <c r="D25" s="252"/>
      <c r="E25" s="252"/>
      <c r="F25" s="252"/>
      <c r="G25" s="252"/>
      <c r="H25" s="253"/>
    </row>
    <row r="26" spans="1:8" ht="14.45" customHeight="1" x14ac:dyDescent="0.2">
      <c r="A26" s="261"/>
      <c r="B26" s="262"/>
      <c r="C26" s="251" t="s">
        <v>216</v>
      </c>
      <c r="D26" s="252"/>
      <c r="E26" s="252"/>
      <c r="F26" s="252"/>
      <c r="G26" s="252"/>
      <c r="H26" s="253"/>
    </row>
    <row r="27" spans="1:8" ht="14.45" customHeight="1" x14ac:dyDescent="0.2">
      <c r="A27" s="261"/>
      <c r="B27" s="262"/>
      <c r="C27" s="251" t="s">
        <v>217</v>
      </c>
      <c r="D27" s="252"/>
      <c r="E27" s="252"/>
      <c r="F27" s="252"/>
      <c r="G27" s="252"/>
      <c r="H27" s="253"/>
    </row>
    <row r="28" spans="1:8" ht="14.45" customHeight="1" x14ac:dyDescent="0.2">
      <c r="A28" s="261"/>
      <c r="B28" s="262"/>
      <c r="C28" s="251" t="s">
        <v>218</v>
      </c>
      <c r="D28" s="252"/>
      <c r="E28" s="252"/>
      <c r="F28" s="252"/>
      <c r="G28" s="252"/>
      <c r="H28" s="253"/>
    </row>
    <row r="29" spans="1:8" ht="14.45" customHeight="1" x14ac:dyDescent="0.2">
      <c r="A29" s="261"/>
      <c r="B29" s="262"/>
      <c r="C29" s="251" t="s">
        <v>219</v>
      </c>
      <c r="D29" s="252"/>
      <c r="E29" s="252"/>
      <c r="F29" s="252"/>
      <c r="G29" s="252"/>
      <c r="H29" s="253"/>
    </row>
    <row r="30" spans="1:8" ht="3.6" customHeight="1" x14ac:dyDescent="0.2">
      <c r="A30" s="263"/>
      <c r="B30" s="263"/>
      <c r="C30" s="263"/>
      <c r="D30" s="263"/>
      <c r="E30" s="263"/>
      <c r="F30" s="263"/>
      <c r="G30" s="263"/>
      <c r="H30" s="263"/>
    </row>
    <row r="31" spans="1:8" ht="3.6" customHeight="1" x14ac:dyDescent="0.2">
      <c r="A31" s="264"/>
      <c r="B31" s="265"/>
      <c r="C31" s="265"/>
      <c r="D31" s="265"/>
      <c r="E31" s="265"/>
      <c r="F31" s="265"/>
      <c r="G31" s="265"/>
      <c r="H31" s="266"/>
    </row>
    <row r="32" spans="1:8" x14ac:dyDescent="0.2">
      <c r="A32" s="258" t="s">
        <v>220</v>
      </c>
      <c r="B32" s="258"/>
      <c r="C32" s="258"/>
      <c r="D32" s="258"/>
      <c r="E32" s="258"/>
      <c r="F32" s="258"/>
      <c r="G32" s="258"/>
      <c r="H32" s="258"/>
    </row>
    <row r="33" spans="1:8" x14ac:dyDescent="0.2">
      <c r="A33" s="258"/>
      <c r="B33" s="258"/>
      <c r="C33" s="258"/>
      <c r="D33" s="258"/>
      <c r="E33" s="258"/>
      <c r="F33" s="258"/>
      <c r="G33" s="258"/>
      <c r="H33" s="258"/>
    </row>
    <row r="34" spans="1:8" ht="14.45" customHeight="1" x14ac:dyDescent="0.2">
      <c r="A34" s="259" t="s">
        <v>221</v>
      </c>
      <c r="B34" s="260"/>
      <c r="C34" s="251" t="s">
        <v>222</v>
      </c>
      <c r="D34" s="252"/>
      <c r="E34" s="252"/>
      <c r="F34" s="252"/>
      <c r="G34" s="252"/>
      <c r="H34" s="253"/>
    </row>
    <row r="35" spans="1:8" ht="14.45" customHeight="1" x14ac:dyDescent="0.2">
      <c r="A35" s="261"/>
      <c r="B35" s="262"/>
      <c r="C35" s="251" t="s">
        <v>223</v>
      </c>
      <c r="D35" s="252"/>
      <c r="E35" s="252"/>
      <c r="F35" s="252"/>
      <c r="G35" s="252"/>
      <c r="H35" s="253"/>
    </row>
    <row r="36" spans="1:8" ht="14.45" customHeight="1" x14ac:dyDescent="0.2">
      <c r="A36" s="261"/>
      <c r="B36" s="262"/>
      <c r="C36" s="251" t="s">
        <v>224</v>
      </c>
      <c r="D36" s="252"/>
      <c r="E36" s="252"/>
      <c r="F36" s="252"/>
      <c r="G36" s="252"/>
      <c r="H36" s="253"/>
    </row>
    <row r="37" spans="1:8" ht="14.45" customHeight="1" x14ac:dyDescent="0.2">
      <c r="A37" s="261"/>
      <c r="B37" s="262"/>
      <c r="C37" s="251" t="s">
        <v>225</v>
      </c>
      <c r="D37" s="252"/>
      <c r="E37" s="252"/>
      <c r="F37" s="252"/>
      <c r="G37" s="252"/>
      <c r="H37" s="253"/>
    </row>
    <row r="38" spans="1:8" ht="14.45" customHeight="1" x14ac:dyDescent="0.2">
      <c r="A38" s="261"/>
      <c r="B38" s="262"/>
      <c r="C38" s="251" t="s">
        <v>226</v>
      </c>
      <c r="D38" s="252"/>
      <c r="E38" s="252"/>
      <c r="F38" s="252"/>
      <c r="G38" s="252"/>
      <c r="H38" s="253"/>
    </row>
    <row r="39" spans="1:8" ht="14.45" customHeight="1" x14ac:dyDescent="0.2">
      <c r="A39" s="261"/>
      <c r="B39" s="262"/>
      <c r="C39" s="251" t="s">
        <v>227</v>
      </c>
      <c r="D39" s="252"/>
      <c r="E39" s="252"/>
      <c r="F39" s="252"/>
      <c r="G39" s="252"/>
      <c r="H39" s="253"/>
    </row>
    <row r="40" spans="1:8" ht="14.45" customHeight="1" x14ac:dyDescent="0.2">
      <c r="A40" s="261"/>
      <c r="B40" s="262"/>
      <c r="C40" s="251" t="s">
        <v>228</v>
      </c>
      <c r="D40" s="252"/>
      <c r="E40" s="252"/>
      <c r="F40" s="252"/>
      <c r="G40" s="252"/>
      <c r="H40" s="253"/>
    </row>
    <row r="41" spans="1:8" ht="14.45" customHeight="1" x14ac:dyDescent="0.2">
      <c r="A41" s="261"/>
      <c r="B41" s="262"/>
      <c r="C41" s="251" t="s">
        <v>229</v>
      </c>
      <c r="D41" s="252"/>
      <c r="E41" s="252"/>
      <c r="F41" s="252"/>
      <c r="G41" s="252"/>
      <c r="H41" s="253"/>
    </row>
    <row r="42" spans="1:8" ht="14.45" customHeight="1" x14ac:dyDescent="0.2">
      <c r="A42" s="261"/>
      <c r="B42" s="262"/>
      <c r="C42" s="251" t="s">
        <v>230</v>
      </c>
      <c r="D42" s="252"/>
      <c r="E42" s="252"/>
      <c r="F42" s="252"/>
      <c r="G42" s="252"/>
      <c r="H42" s="253"/>
    </row>
    <row r="43" spans="1:8" ht="14.45" customHeight="1" x14ac:dyDescent="0.2">
      <c r="A43" s="261"/>
      <c r="B43" s="262"/>
      <c r="C43" s="251" t="s">
        <v>231</v>
      </c>
      <c r="D43" s="252"/>
      <c r="E43" s="252"/>
      <c r="F43" s="252"/>
      <c r="G43" s="252"/>
      <c r="H43" s="253"/>
    </row>
    <row r="44" spans="1:8" ht="14.45" customHeight="1" x14ac:dyDescent="0.2">
      <c r="A44" s="261"/>
      <c r="B44" s="262"/>
      <c r="C44" s="251" t="s">
        <v>232</v>
      </c>
      <c r="D44" s="252"/>
      <c r="E44" s="252"/>
      <c r="F44" s="252"/>
      <c r="G44" s="252"/>
      <c r="H44" s="253"/>
    </row>
    <row r="45" spans="1:8" ht="14.45" customHeight="1" x14ac:dyDescent="0.2">
      <c r="A45" s="261"/>
      <c r="B45" s="262"/>
      <c r="C45" s="251" t="s">
        <v>233</v>
      </c>
      <c r="D45" s="252"/>
      <c r="E45" s="252"/>
      <c r="F45" s="252"/>
      <c r="G45" s="252"/>
      <c r="H45" s="253"/>
    </row>
    <row r="46" spans="1:8" hidden="1" x14ac:dyDescent="0.2">
      <c r="A46" s="258" t="s">
        <v>220</v>
      </c>
      <c r="B46" s="258"/>
      <c r="C46" s="258"/>
      <c r="D46" s="258"/>
      <c r="E46" s="258"/>
      <c r="F46" s="258"/>
      <c r="G46" s="258"/>
      <c r="H46" s="258"/>
    </row>
    <row r="47" spans="1:8" hidden="1" x14ac:dyDescent="0.2">
      <c r="A47" s="258"/>
      <c r="B47" s="258"/>
      <c r="C47" s="258"/>
      <c r="D47" s="258"/>
      <c r="E47" s="258"/>
      <c r="F47" s="258"/>
      <c r="G47" s="258"/>
      <c r="H47" s="258"/>
    </row>
    <row r="48" spans="1:8" hidden="1" x14ac:dyDescent="0.2">
      <c r="A48" s="267" t="s">
        <v>234</v>
      </c>
      <c r="B48" s="268"/>
      <c r="C48" s="268"/>
      <c r="D48" s="269"/>
      <c r="E48" s="267" t="s">
        <v>235</v>
      </c>
      <c r="F48" s="268"/>
      <c r="G48" s="268"/>
      <c r="H48" s="269"/>
    </row>
    <row r="49" spans="1:10" hidden="1" x14ac:dyDescent="0.2">
      <c r="A49" s="270" t="s">
        <v>236</v>
      </c>
      <c r="B49" s="271"/>
      <c r="C49" s="271"/>
      <c r="D49" s="272"/>
      <c r="E49" s="279" t="s">
        <v>237</v>
      </c>
      <c r="F49" s="280"/>
      <c r="G49" s="280"/>
      <c r="H49" s="281"/>
    </row>
    <row r="50" spans="1:10" hidden="1" x14ac:dyDescent="0.2">
      <c r="A50" s="273"/>
      <c r="B50" s="274"/>
      <c r="C50" s="274"/>
      <c r="D50" s="275"/>
      <c r="E50" s="282"/>
      <c r="F50" s="283"/>
      <c r="G50" s="283"/>
      <c r="H50" s="284"/>
    </row>
    <row r="51" spans="1:10" hidden="1" x14ac:dyDescent="0.2">
      <c r="A51" s="273"/>
      <c r="B51" s="274"/>
      <c r="C51" s="274"/>
      <c r="D51" s="275"/>
      <c r="E51" s="282"/>
      <c r="F51" s="283"/>
      <c r="G51" s="283"/>
      <c r="H51" s="284"/>
    </row>
    <row r="52" spans="1:10" hidden="1" x14ac:dyDescent="0.2">
      <c r="A52" s="276"/>
      <c r="B52" s="277"/>
      <c r="C52" s="277"/>
      <c r="D52" s="278"/>
      <c r="E52" s="285"/>
      <c r="F52" s="286"/>
      <c r="G52" s="286"/>
      <c r="H52" s="287"/>
    </row>
    <row r="53" spans="1:10" hidden="1" x14ac:dyDescent="0.2">
      <c r="A53" s="270" t="s">
        <v>238</v>
      </c>
      <c r="B53" s="271"/>
      <c r="C53" s="271"/>
      <c r="D53" s="272"/>
      <c r="E53" s="279" t="s">
        <v>239</v>
      </c>
      <c r="F53" s="280"/>
      <c r="G53" s="280"/>
      <c r="H53" s="281"/>
    </row>
    <row r="54" spans="1:10" hidden="1" x14ac:dyDescent="0.2">
      <c r="A54" s="273"/>
      <c r="B54" s="274"/>
      <c r="C54" s="274"/>
      <c r="D54" s="275"/>
      <c r="E54" s="282"/>
      <c r="F54" s="283"/>
      <c r="G54" s="283"/>
      <c r="H54" s="284"/>
    </row>
    <row r="55" spans="1:10" hidden="1" x14ac:dyDescent="0.2">
      <c r="A55" s="273"/>
      <c r="B55" s="274"/>
      <c r="C55" s="274"/>
      <c r="D55" s="275"/>
      <c r="E55" s="282"/>
      <c r="F55" s="283"/>
      <c r="G55" s="283"/>
      <c r="H55" s="284"/>
      <c r="J55" s="130"/>
    </row>
    <row r="56" spans="1:10" hidden="1" x14ac:dyDescent="0.2">
      <c r="A56" s="276"/>
      <c r="B56" s="277"/>
      <c r="C56" s="277"/>
      <c r="D56" s="278"/>
      <c r="E56" s="285"/>
      <c r="F56" s="286"/>
      <c r="G56" s="286"/>
      <c r="H56" s="287"/>
    </row>
    <row r="57" spans="1:10" hidden="1" x14ac:dyDescent="0.2">
      <c r="A57" s="270" t="s">
        <v>240</v>
      </c>
      <c r="B57" s="271"/>
      <c r="C57" s="271"/>
      <c r="D57" s="272"/>
      <c r="E57" s="279" t="s">
        <v>241</v>
      </c>
      <c r="F57" s="280"/>
      <c r="G57" s="280"/>
      <c r="H57" s="281"/>
    </row>
    <row r="58" spans="1:10" hidden="1" x14ac:dyDescent="0.2">
      <c r="A58" s="273"/>
      <c r="B58" s="274"/>
      <c r="C58" s="274"/>
      <c r="D58" s="275"/>
      <c r="E58" s="282"/>
      <c r="F58" s="283"/>
      <c r="G58" s="283"/>
      <c r="H58" s="284"/>
    </row>
    <row r="59" spans="1:10" hidden="1" x14ac:dyDescent="0.2">
      <c r="A59" s="276"/>
      <c r="B59" s="277"/>
      <c r="C59" s="277"/>
      <c r="D59" s="278"/>
      <c r="E59" s="285"/>
      <c r="F59" s="286"/>
      <c r="G59" s="286"/>
      <c r="H59" s="287"/>
    </row>
    <row r="60" spans="1:10" hidden="1" x14ac:dyDescent="0.2">
      <c r="A60" s="270" t="s">
        <v>242</v>
      </c>
      <c r="B60" s="271"/>
      <c r="C60" s="271"/>
      <c r="D60" s="272"/>
      <c r="E60" s="279" t="s">
        <v>243</v>
      </c>
      <c r="F60" s="280"/>
      <c r="G60" s="280"/>
      <c r="H60" s="281"/>
    </row>
    <row r="61" spans="1:10" hidden="1" x14ac:dyDescent="0.2">
      <c r="A61" s="273"/>
      <c r="B61" s="274"/>
      <c r="C61" s="274"/>
      <c r="D61" s="275"/>
      <c r="E61" s="282"/>
      <c r="F61" s="283"/>
      <c r="G61" s="283"/>
      <c r="H61" s="284"/>
    </row>
    <row r="62" spans="1:10" hidden="1" x14ac:dyDescent="0.2">
      <c r="A62" s="273"/>
      <c r="B62" s="274"/>
      <c r="C62" s="274"/>
      <c r="D62" s="275"/>
      <c r="E62" s="282"/>
      <c r="F62" s="283"/>
      <c r="G62" s="283"/>
      <c r="H62" s="284"/>
    </row>
    <row r="63" spans="1:10" hidden="1" x14ac:dyDescent="0.2">
      <c r="A63" s="273"/>
      <c r="B63" s="274"/>
      <c r="C63" s="274"/>
      <c r="D63" s="275"/>
      <c r="E63" s="282"/>
      <c r="F63" s="283"/>
      <c r="G63" s="283"/>
      <c r="H63" s="284"/>
    </row>
    <row r="64" spans="1:10" hidden="1" x14ac:dyDescent="0.2">
      <c r="A64" s="276"/>
      <c r="B64" s="277"/>
      <c r="C64" s="277"/>
      <c r="D64" s="278"/>
      <c r="E64" s="285"/>
      <c r="F64" s="286"/>
      <c r="G64" s="286"/>
      <c r="H64" s="287"/>
    </row>
    <row r="65" spans="1:8" hidden="1" x14ac:dyDescent="0.2">
      <c r="A65" s="270" t="s">
        <v>244</v>
      </c>
      <c r="B65" s="271"/>
      <c r="C65" s="271"/>
      <c r="D65" s="272"/>
      <c r="E65" s="279" t="s">
        <v>245</v>
      </c>
      <c r="F65" s="280"/>
      <c r="G65" s="280"/>
      <c r="H65" s="281"/>
    </row>
    <row r="66" spans="1:8" hidden="1" x14ac:dyDescent="0.2">
      <c r="A66" s="273"/>
      <c r="B66" s="274"/>
      <c r="C66" s="274"/>
      <c r="D66" s="275"/>
      <c r="E66" s="282"/>
      <c r="F66" s="283"/>
      <c r="G66" s="283"/>
      <c r="H66" s="284"/>
    </row>
    <row r="67" spans="1:8" hidden="1" x14ac:dyDescent="0.2">
      <c r="A67" s="273"/>
      <c r="B67" s="274"/>
      <c r="C67" s="274"/>
      <c r="D67" s="275"/>
      <c r="E67" s="282"/>
      <c r="F67" s="283"/>
      <c r="G67" s="283"/>
      <c r="H67" s="284"/>
    </row>
    <row r="68" spans="1:8" hidden="1" x14ac:dyDescent="0.2">
      <c r="A68" s="276"/>
      <c r="B68" s="277"/>
      <c r="C68" s="277"/>
      <c r="D68" s="278"/>
      <c r="E68" s="285"/>
      <c r="F68" s="286"/>
      <c r="G68" s="286"/>
      <c r="H68" s="287"/>
    </row>
    <row r="69" spans="1:8" hidden="1" x14ac:dyDescent="0.2">
      <c r="A69" s="270" t="s">
        <v>246</v>
      </c>
      <c r="B69" s="271"/>
      <c r="C69" s="271"/>
      <c r="D69" s="272"/>
      <c r="E69" s="279" t="s">
        <v>247</v>
      </c>
      <c r="F69" s="280"/>
      <c r="G69" s="280"/>
      <c r="H69" s="281"/>
    </row>
    <row r="70" spans="1:8" hidden="1" x14ac:dyDescent="0.2">
      <c r="A70" s="273"/>
      <c r="B70" s="274"/>
      <c r="C70" s="274"/>
      <c r="D70" s="275"/>
      <c r="E70" s="282"/>
      <c r="F70" s="283"/>
      <c r="G70" s="283"/>
      <c r="H70" s="284"/>
    </row>
    <row r="71" spans="1:8" hidden="1" x14ac:dyDescent="0.2">
      <c r="A71" s="276"/>
      <c r="B71" s="277"/>
      <c r="C71" s="277"/>
      <c r="D71" s="278"/>
      <c r="E71" s="285"/>
      <c r="F71" s="286"/>
      <c r="G71" s="286"/>
      <c r="H71" s="287"/>
    </row>
    <row r="72" spans="1:8" hidden="1" x14ac:dyDescent="0.2"/>
  </sheetData>
  <mergeCells count="49">
    <mergeCell ref="A49:D52"/>
    <mergeCell ref="E49:H52"/>
    <mergeCell ref="A65:D68"/>
    <mergeCell ref="E65:H68"/>
    <mergeCell ref="A69:D71"/>
    <mergeCell ref="E69:H71"/>
    <mergeCell ref="A53:D56"/>
    <mergeCell ref="E53:H56"/>
    <mergeCell ref="A57:D59"/>
    <mergeCell ref="E57:H59"/>
    <mergeCell ref="A60:D64"/>
    <mergeCell ref="E60:H64"/>
    <mergeCell ref="C40:H40"/>
    <mergeCell ref="C41:H41"/>
    <mergeCell ref="C42:H42"/>
    <mergeCell ref="A48:D48"/>
    <mergeCell ref="E48:H48"/>
    <mergeCell ref="A46:H47"/>
    <mergeCell ref="C43:H43"/>
    <mergeCell ref="A34:B45"/>
    <mergeCell ref="C34:H34"/>
    <mergeCell ref="C35:H35"/>
    <mergeCell ref="C36:H36"/>
    <mergeCell ref="C37:H37"/>
    <mergeCell ref="C44:H44"/>
    <mergeCell ref="C45:H45"/>
    <mergeCell ref="C38:H38"/>
    <mergeCell ref="C39:H39"/>
    <mergeCell ref="C28:H28"/>
    <mergeCell ref="C29:H29"/>
    <mergeCell ref="A30:H30"/>
    <mergeCell ref="A31:H31"/>
    <mergeCell ref="A32:H33"/>
    <mergeCell ref="C27:H27"/>
    <mergeCell ref="A1:L3"/>
    <mergeCell ref="A6:L7"/>
    <mergeCell ref="A8:L12"/>
    <mergeCell ref="A14:H15"/>
    <mergeCell ref="A16:H17"/>
    <mergeCell ref="A18:B29"/>
    <mergeCell ref="C18:H18"/>
    <mergeCell ref="C19:H19"/>
    <mergeCell ref="C20:H20"/>
    <mergeCell ref="C21:H21"/>
    <mergeCell ref="C22:H22"/>
    <mergeCell ref="C23:H23"/>
    <mergeCell ref="C24:H24"/>
    <mergeCell ref="C25:H25"/>
    <mergeCell ref="C26:H2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3:N73"/>
  <sheetViews>
    <sheetView showGridLines="0" workbookViewId="0">
      <selection activeCell="E48" sqref="E48"/>
    </sheetView>
  </sheetViews>
  <sheetFormatPr defaultColWidth="10.76171875" defaultRowHeight="15" x14ac:dyDescent="0.2"/>
  <cols>
    <col min="1" max="3" width="12.23828125" style="73" customWidth="1"/>
    <col min="4" max="4" width="13.046875" style="73" customWidth="1"/>
    <col min="5" max="12" width="12.23828125" style="73" customWidth="1"/>
    <col min="13" max="13" width="14.796875" style="73" customWidth="1"/>
    <col min="14" max="14" width="12.23828125" style="73" customWidth="1"/>
    <col min="15" max="16384" width="10.76171875" style="73"/>
  </cols>
  <sheetData>
    <row r="3" spans="1:14" ht="15" customHeight="1" x14ac:dyDescent="0.2">
      <c r="D3" s="74"/>
      <c r="E3" s="75"/>
      <c r="F3" s="288" t="s">
        <v>248</v>
      </c>
      <c r="G3" s="288"/>
      <c r="H3" s="288"/>
      <c r="I3" s="288"/>
      <c r="J3" s="288"/>
    </row>
    <row r="4" spans="1:14" ht="15" customHeight="1" x14ac:dyDescent="0.2">
      <c r="D4" s="75"/>
      <c r="E4" s="75"/>
      <c r="F4" s="288"/>
      <c r="G4" s="288"/>
      <c r="H4" s="288"/>
      <c r="I4" s="288"/>
      <c r="J4" s="288"/>
    </row>
    <row r="5" spans="1:14" ht="15" customHeight="1" x14ac:dyDescent="0.2">
      <c r="D5" s="75"/>
      <c r="E5" s="75"/>
      <c r="F5" s="288"/>
      <c r="G5" s="288"/>
      <c r="H5" s="288"/>
      <c r="I5" s="288"/>
      <c r="J5" s="288"/>
    </row>
    <row r="7" spans="1:14" x14ac:dyDescent="0.2">
      <c r="A7" s="293" t="s">
        <v>249</v>
      </c>
      <c r="B7" s="294"/>
      <c r="C7" s="294"/>
      <c r="D7" s="294"/>
      <c r="E7" s="294"/>
      <c r="F7" s="294"/>
      <c r="G7" s="294"/>
      <c r="H7" s="294"/>
      <c r="I7" s="294"/>
      <c r="J7" s="294"/>
      <c r="K7" s="294"/>
      <c r="L7" s="294"/>
      <c r="M7" s="294"/>
      <c r="N7" s="294"/>
    </row>
    <row r="8" spans="1:14" x14ac:dyDescent="0.2">
      <c r="A8" s="160" t="s">
        <v>250</v>
      </c>
      <c r="B8" s="160" t="s">
        <v>251</v>
      </c>
      <c r="C8" s="160" t="s">
        <v>252</v>
      </c>
      <c r="D8" s="160" t="s">
        <v>253</v>
      </c>
      <c r="E8" s="160" t="s">
        <v>254</v>
      </c>
      <c r="F8" s="160" t="s">
        <v>255</v>
      </c>
      <c r="G8" s="160" t="s">
        <v>256</v>
      </c>
      <c r="H8" s="160" t="s">
        <v>257</v>
      </c>
      <c r="I8" s="160" t="s">
        <v>258</v>
      </c>
      <c r="J8" s="160" t="s">
        <v>259</v>
      </c>
      <c r="K8" s="160" t="s">
        <v>260</v>
      </c>
      <c r="L8" s="160" t="s">
        <v>261</v>
      </c>
      <c r="M8" s="297" t="s">
        <v>179</v>
      </c>
      <c r="N8" s="297"/>
    </row>
    <row r="9" spans="1:14" x14ac:dyDescent="0.2">
      <c r="A9" s="6" t="e">
        <f>'Training Plan'!B602</f>
        <v>#VALUE!</v>
      </c>
      <c r="B9" s="6">
        <v>115000</v>
      </c>
      <c r="C9" s="6">
        <v>120000</v>
      </c>
      <c r="D9" s="6">
        <v>122500</v>
      </c>
      <c r="E9" s="6">
        <v>120000</v>
      </c>
      <c r="F9" s="6">
        <v>110000</v>
      </c>
      <c r="G9" s="6">
        <v>99000</v>
      </c>
      <c r="H9" s="6">
        <v>100000</v>
      </c>
      <c r="I9" s="6">
        <v>120000</v>
      </c>
      <c r="J9" s="6">
        <v>125000</v>
      </c>
      <c r="K9" s="6">
        <v>130000</v>
      </c>
      <c r="L9" s="6">
        <v>135000</v>
      </c>
      <c r="M9" s="295" t="e">
        <f>SUM(A9:L9)</f>
        <v>#VALUE!</v>
      </c>
      <c r="N9" s="296"/>
    </row>
    <row r="34" spans="1:4" x14ac:dyDescent="0.2">
      <c r="A34" s="289" t="s">
        <v>262</v>
      </c>
      <c r="B34" s="289"/>
      <c r="C34" s="289"/>
      <c r="D34" s="289"/>
    </row>
    <row r="35" spans="1:4" x14ac:dyDescent="0.2">
      <c r="A35" s="129" t="s">
        <v>263</v>
      </c>
      <c r="B35" s="129" t="s">
        <v>32</v>
      </c>
      <c r="C35" s="129" t="s">
        <v>33</v>
      </c>
      <c r="D35" s="129" t="s">
        <v>34</v>
      </c>
    </row>
    <row r="36" spans="1:4" x14ac:dyDescent="0.2">
      <c r="A36" s="129">
        <v>1</v>
      </c>
      <c r="B36" s="6">
        <v>300</v>
      </c>
      <c r="C36" s="6">
        <v>300</v>
      </c>
      <c r="D36" s="6">
        <v>700</v>
      </c>
    </row>
    <row r="37" spans="1:4" x14ac:dyDescent="0.2">
      <c r="A37" s="129">
        <v>2</v>
      </c>
      <c r="B37" s="6">
        <v>400</v>
      </c>
      <c r="C37" s="6">
        <v>300</v>
      </c>
      <c r="D37" s="6">
        <v>300</v>
      </c>
    </row>
    <row r="38" spans="1:4" x14ac:dyDescent="0.2">
      <c r="A38" s="129">
        <v>3</v>
      </c>
      <c r="B38" s="6">
        <v>3000</v>
      </c>
      <c r="C38" s="6"/>
      <c r="D38" s="6"/>
    </row>
    <row r="39" spans="1:4" x14ac:dyDescent="0.2">
      <c r="A39" s="129">
        <v>4</v>
      </c>
      <c r="B39" s="6"/>
      <c r="C39" s="6">
        <v>105</v>
      </c>
      <c r="D39" s="6">
        <v>193</v>
      </c>
    </row>
    <row r="40" spans="1:4" x14ac:dyDescent="0.2">
      <c r="A40" s="129">
        <v>5</v>
      </c>
      <c r="B40" s="6"/>
      <c r="C40" s="6">
        <v>105</v>
      </c>
      <c r="D40" s="6">
        <v>193</v>
      </c>
    </row>
    <row r="41" spans="1:4" x14ac:dyDescent="0.2">
      <c r="A41" s="129">
        <v>6</v>
      </c>
      <c r="B41" s="6"/>
      <c r="C41" s="6">
        <v>110</v>
      </c>
      <c r="D41" s="6">
        <v>193</v>
      </c>
    </row>
    <row r="42" spans="1:4" x14ac:dyDescent="0.2">
      <c r="A42" s="129">
        <v>7</v>
      </c>
      <c r="B42" s="6">
        <v>167</v>
      </c>
      <c r="C42" s="6">
        <v>115</v>
      </c>
      <c r="D42" s="6">
        <v>195</v>
      </c>
    </row>
    <row r="43" spans="1:4" x14ac:dyDescent="0.2">
      <c r="A43" s="129">
        <v>8</v>
      </c>
      <c r="B43" s="6">
        <v>170</v>
      </c>
      <c r="C43" s="6">
        <v>120</v>
      </c>
      <c r="D43" s="6">
        <v>200</v>
      </c>
    </row>
    <row r="44" spans="1:4" x14ac:dyDescent="0.2">
      <c r="A44" s="129">
        <v>9</v>
      </c>
      <c r="B44" s="6">
        <v>172.5</v>
      </c>
      <c r="C44" s="6">
        <v>125</v>
      </c>
      <c r="D44" s="6">
        <v>205</v>
      </c>
    </row>
    <row r="45" spans="1:4" x14ac:dyDescent="0.2">
      <c r="A45" s="129">
        <v>10</v>
      </c>
      <c r="B45" s="6">
        <v>180</v>
      </c>
      <c r="C45" s="6">
        <v>127.5</v>
      </c>
      <c r="D45" s="6">
        <v>205</v>
      </c>
    </row>
    <row r="46" spans="1:4" x14ac:dyDescent="0.2">
      <c r="A46" s="129">
        <v>11</v>
      </c>
      <c r="B46" s="6">
        <v>185</v>
      </c>
      <c r="C46" s="6">
        <v>127.5</v>
      </c>
      <c r="D46" s="6">
        <v>210</v>
      </c>
    </row>
    <row r="47" spans="1:4" x14ac:dyDescent="0.2">
      <c r="A47" s="129">
        <v>12</v>
      </c>
      <c r="B47" s="6">
        <v>187.5</v>
      </c>
      <c r="C47" s="6">
        <v>130</v>
      </c>
      <c r="D47" s="6">
        <v>210</v>
      </c>
    </row>
    <row r="49" spans="1:13" x14ac:dyDescent="0.2">
      <c r="A49" s="73" t="s">
        <v>264</v>
      </c>
    </row>
    <row r="50" spans="1:13" x14ac:dyDescent="0.2">
      <c r="A50" s="157" t="s">
        <v>38</v>
      </c>
      <c r="B50" s="157" t="s">
        <v>10</v>
      </c>
      <c r="C50" s="157" t="s">
        <v>187</v>
      </c>
      <c r="D50" s="157" t="s">
        <v>185</v>
      </c>
    </row>
    <row r="51" spans="1:13" x14ac:dyDescent="0.2">
      <c r="A51" s="6">
        <v>10</v>
      </c>
      <c r="B51" s="6">
        <v>100</v>
      </c>
      <c r="C51" s="6">
        <v>8.5</v>
      </c>
      <c r="D51" s="129">
        <f ca="1">MROUND(B51/OFFSET(A54,MATCH(C51,A55:A61,0),MATCH(A51,B54:M54,0)),1)</f>
        <v>159</v>
      </c>
    </row>
    <row r="53" spans="1:13" x14ac:dyDescent="0.2">
      <c r="A53" s="290" t="s">
        <v>187</v>
      </c>
      <c r="B53" s="291" t="s">
        <v>38</v>
      </c>
      <c r="C53" s="291"/>
      <c r="D53" s="291"/>
      <c r="E53" s="291"/>
      <c r="F53" s="291"/>
      <c r="G53" s="291"/>
      <c r="H53" s="291"/>
      <c r="I53" s="291"/>
      <c r="J53" s="291"/>
      <c r="K53" s="291"/>
      <c r="L53" s="291"/>
      <c r="M53" s="291"/>
    </row>
    <row r="54" spans="1:13" x14ac:dyDescent="0.2">
      <c r="A54" s="290" t="s">
        <v>187</v>
      </c>
      <c r="B54" s="158">
        <v>1</v>
      </c>
      <c r="C54" s="158">
        <v>2</v>
      </c>
      <c r="D54" s="158">
        <v>3</v>
      </c>
      <c r="E54" s="158">
        <v>4</v>
      </c>
      <c r="F54" s="158">
        <v>5</v>
      </c>
      <c r="G54" s="158">
        <v>6</v>
      </c>
      <c r="H54" s="158">
        <v>7</v>
      </c>
      <c r="I54" s="158">
        <v>8</v>
      </c>
      <c r="J54" s="158">
        <v>9</v>
      </c>
      <c r="K54" s="158">
        <v>10</v>
      </c>
      <c r="L54" s="158">
        <v>11</v>
      </c>
      <c r="M54" s="158">
        <v>12</v>
      </c>
    </row>
    <row r="55" spans="1:13" x14ac:dyDescent="0.2">
      <c r="A55" s="158">
        <v>10</v>
      </c>
      <c r="B55" s="66">
        <f>'RM Calculator'!C20</f>
        <v>1</v>
      </c>
      <c r="C55" s="66">
        <f>'RM Calculator'!D20</f>
        <v>0.95</v>
      </c>
      <c r="D55" s="66">
        <f>'RM Calculator'!E20</f>
        <v>0.9</v>
      </c>
      <c r="E55" s="66">
        <f>'RM Calculator'!F20</f>
        <v>0.85</v>
      </c>
      <c r="F55" s="66">
        <f>'RM Calculator'!G20</f>
        <v>0.8</v>
      </c>
      <c r="G55" s="66">
        <f>'RM Calculator'!H20</f>
        <v>0.77</v>
      </c>
      <c r="H55" s="66">
        <f>'RM Calculator'!I20</f>
        <v>0.74</v>
      </c>
      <c r="I55" s="66">
        <f>'RM Calculator'!J20</f>
        <v>0.71</v>
      </c>
      <c r="J55" s="66">
        <f>'RM Calculator'!K20</f>
        <v>0.68500000000000005</v>
      </c>
      <c r="K55" s="66">
        <f>'RM Calculator'!L20</f>
        <v>0.66</v>
      </c>
      <c r="L55" s="66">
        <f>'RM Calculator'!M20</f>
        <v>0.64</v>
      </c>
      <c r="M55" s="66">
        <f>'RM Calculator'!N20</f>
        <v>0.62</v>
      </c>
    </row>
    <row r="56" spans="1:13" x14ac:dyDescent="0.2">
      <c r="A56" s="158">
        <v>9.5</v>
      </c>
      <c r="B56" s="68">
        <f>'RM Calculator'!C21</f>
        <v>0.97499999999999998</v>
      </c>
      <c r="C56" s="69">
        <f>'RM Calculator'!D21</f>
        <v>0.92500000000000004</v>
      </c>
      <c r="D56" s="69">
        <f>'RM Calculator'!E21</f>
        <v>0.875</v>
      </c>
      <c r="E56" s="69">
        <f>'RM Calculator'!F21</f>
        <v>0.82499999999999996</v>
      </c>
      <c r="F56" s="69">
        <f>'RM Calculator'!G21</f>
        <v>0.78500000000000003</v>
      </c>
      <c r="G56" s="69">
        <f>'RM Calculator'!H21</f>
        <v>0.755</v>
      </c>
      <c r="H56" s="69">
        <f>'RM Calculator'!I21</f>
        <v>0.72499999999999998</v>
      </c>
      <c r="I56" s="69">
        <f>'RM Calculator'!J21</f>
        <v>0.69750000000000001</v>
      </c>
      <c r="J56" s="69">
        <f>'RM Calculator'!K21</f>
        <v>0.6725000000000001</v>
      </c>
      <c r="K56" s="69">
        <f>'RM Calculator'!L21</f>
        <v>0.65</v>
      </c>
      <c r="L56" s="69">
        <f>'RM Calculator'!M21</f>
        <v>0.63</v>
      </c>
      <c r="M56" s="69" t="str">
        <f>'RM Calculator'!N21</f>
        <v>-</v>
      </c>
    </row>
    <row r="57" spans="1:13" x14ac:dyDescent="0.2">
      <c r="A57" s="158">
        <v>9</v>
      </c>
      <c r="B57" s="70">
        <f>'RM Calculator'!C22</f>
        <v>0.95</v>
      </c>
      <c r="C57" s="71">
        <f>'RM Calculator'!D22</f>
        <v>0.9</v>
      </c>
      <c r="D57" s="71">
        <f>'RM Calculator'!E22</f>
        <v>0.85</v>
      </c>
      <c r="E57" s="71">
        <f>'RM Calculator'!F22</f>
        <v>0.8</v>
      </c>
      <c r="F57" s="71">
        <f>'RM Calculator'!G22</f>
        <v>0.77</v>
      </c>
      <c r="G57" s="71">
        <f>'RM Calculator'!H22</f>
        <v>0.74</v>
      </c>
      <c r="H57" s="71">
        <f>'RM Calculator'!I22</f>
        <v>0.71</v>
      </c>
      <c r="I57" s="71">
        <f>'RM Calculator'!J22</f>
        <v>0.68500000000000005</v>
      </c>
      <c r="J57" s="71">
        <f>'RM Calculator'!K22</f>
        <v>0.66</v>
      </c>
      <c r="K57" s="71">
        <f>'RM Calculator'!L22</f>
        <v>0.64</v>
      </c>
      <c r="L57" s="71">
        <f>'RM Calculator'!M22</f>
        <v>0.62</v>
      </c>
      <c r="M57" s="71" t="str">
        <f>'RM Calculator'!N22</f>
        <v>-</v>
      </c>
    </row>
    <row r="58" spans="1:13" x14ac:dyDescent="0.2">
      <c r="A58" s="158">
        <v>8.5</v>
      </c>
      <c r="B58" s="68">
        <f>'RM Calculator'!C23</f>
        <v>0.92500000000000004</v>
      </c>
      <c r="C58" s="69">
        <f>'RM Calculator'!D23</f>
        <v>0.875</v>
      </c>
      <c r="D58" s="69">
        <f>'RM Calculator'!E23</f>
        <v>0.82499999999999996</v>
      </c>
      <c r="E58" s="69">
        <f>'RM Calculator'!F23</f>
        <v>0.78500000000000003</v>
      </c>
      <c r="F58" s="69">
        <f>'RM Calculator'!G23</f>
        <v>0.755</v>
      </c>
      <c r="G58" s="69">
        <f>'RM Calculator'!H23</f>
        <v>0.72499999999999998</v>
      </c>
      <c r="H58" s="69">
        <f>'RM Calculator'!I23</f>
        <v>0.69750000000000001</v>
      </c>
      <c r="I58" s="69">
        <f>'RM Calculator'!J23</f>
        <v>0.6725000000000001</v>
      </c>
      <c r="J58" s="69">
        <f>'RM Calculator'!K23</f>
        <v>0.65</v>
      </c>
      <c r="K58" s="69">
        <f>'RM Calculator'!L23</f>
        <v>0.63</v>
      </c>
      <c r="L58" s="69" t="str">
        <f>'RM Calculator'!M23</f>
        <v>-</v>
      </c>
      <c r="M58" s="69" t="str">
        <f>'RM Calculator'!N23</f>
        <v>-</v>
      </c>
    </row>
    <row r="59" spans="1:13" x14ac:dyDescent="0.2">
      <c r="A59" s="158">
        <v>8</v>
      </c>
      <c r="B59" s="70">
        <f>'RM Calculator'!C24</f>
        <v>0.9</v>
      </c>
      <c r="C59" s="71">
        <f>'RM Calculator'!D24</f>
        <v>0.85</v>
      </c>
      <c r="D59" s="71">
        <f>'RM Calculator'!E24</f>
        <v>0.8</v>
      </c>
      <c r="E59" s="71">
        <f>'RM Calculator'!F24</f>
        <v>0.77</v>
      </c>
      <c r="F59" s="71">
        <f>'RM Calculator'!G24</f>
        <v>0.74</v>
      </c>
      <c r="G59" s="71">
        <f>'RM Calculator'!H24</f>
        <v>0.71</v>
      </c>
      <c r="H59" s="71">
        <f>'RM Calculator'!I24</f>
        <v>0.68500000000000005</v>
      </c>
      <c r="I59" s="71">
        <f>'RM Calculator'!J24</f>
        <v>0.66</v>
      </c>
      <c r="J59" s="71">
        <f>'RM Calculator'!K24</f>
        <v>0.64</v>
      </c>
      <c r="K59" s="71">
        <f>'RM Calculator'!L24</f>
        <v>0.62</v>
      </c>
      <c r="L59" s="71" t="str">
        <f>'RM Calculator'!M24</f>
        <v>-</v>
      </c>
      <c r="M59" s="71" t="str">
        <f>'RM Calculator'!N24</f>
        <v>-</v>
      </c>
    </row>
    <row r="60" spans="1:13" x14ac:dyDescent="0.2">
      <c r="A60" s="158">
        <v>7</v>
      </c>
      <c r="B60" s="68">
        <f>'RM Calculator'!C25</f>
        <v>0.85</v>
      </c>
      <c r="C60" s="69">
        <f>'RM Calculator'!D25</f>
        <v>0.8</v>
      </c>
      <c r="D60" s="69">
        <f>'RM Calculator'!E25</f>
        <v>0.77</v>
      </c>
      <c r="E60" s="69">
        <f>'RM Calculator'!F25</f>
        <v>0.74</v>
      </c>
      <c r="F60" s="69">
        <f>'RM Calculator'!G25</f>
        <v>0.71</v>
      </c>
      <c r="G60" s="69">
        <f>'RM Calculator'!H25</f>
        <v>0.68500000000000005</v>
      </c>
      <c r="H60" s="69">
        <f>'RM Calculator'!I25</f>
        <v>0.66</v>
      </c>
      <c r="I60" s="69">
        <f>'RM Calculator'!J25</f>
        <v>0.64</v>
      </c>
      <c r="J60" s="69">
        <f>'RM Calculator'!K25</f>
        <v>0.62</v>
      </c>
      <c r="K60" s="69" t="str">
        <f>'RM Calculator'!L25</f>
        <v>-</v>
      </c>
      <c r="L60" s="69" t="str">
        <f>'RM Calculator'!M25</f>
        <v>-</v>
      </c>
      <c r="M60" s="69" t="str">
        <f>'RM Calculator'!N25</f>
        <v>-</v>
      </c>
    </row>
    <row r="61" spans="1:13" x14ac:dyDescent="0.2">
      <c r="A61" s="158">
        <v>6</v>
      </c>
      <c r="B61" s="70">
        <f>'RM Calculator'!C26</f>
        <v>0.8</v>
      </c>
      <c r="C61" s="71">
        <f>'RM Calculator'!D26</f>
        <v>0.77</v>
      </c>
      <c r="D61" s="71">
        <f>'RM Calculator'!E26</f>
        <v>0.74</v>
      </c>
      <c r="E61" s="71">
        <f>'RM Calculator'!F26</f>
        <v>0.71</v>
      </c>
      <c r="F61" s="71">
        <f>'RM Calculator'!G26</f>
        <v>0.68500000000000005</v>
      </c>
      <c r="G61" s="71">
        <f>'RM Calculator'!H26</f>
        <v>0.66</v>
      </c>
      <c r="H61" s="71">
        <f>'RM Calculator'!I26</f>
        <v>0.64</v>
      </c>
      <c r="I61" s="71">
        <f>'RM Calculator'!J26</f>
        <v>0.62</v>
      </c>
      <c r="J61" s="72" t="str">
        <f>'RM Calculator'!K26</f>
        <v>-</v>
      </c>
      <c r="K61" s="72" t="str">
        <f>'RM Calculator'!L26</f>
        <v>-</v>
      </c>
      <c r="L61" s="72" t="str">
        <f>'RM Calculator'!M26</f>
        <v>-</v>
      </c>
      <c r="M61" s="72" t="str">
        <f>'RM Calculator'!N26</f>
        <v>-</v>
      </c>
    </row>
    <row r="63" spans="1:13" x14ac:dyDescent="0.2">
      <c r="A63" s="292" t="s">
        <v>265</v>
      </c>
      <c r="B63" s="292"/>
      <c r="C63" s="292"/>
      <c r="D63" s="292"/>
      <c r="E63" s="292"/>
      <c r="F63" s="292"/>
      <c r="G63" s="292"/>
      <c r="H63" s="292"/>
    </row>
    <row r="64" spans="1:13" x14ac:dyDescent="0.2">
      <c r="A64" s="73">
        <v>1</v>
      </c>
      <c r="B64" s="292" t="s">
        <v>266</v>
      </c>
      <c r="C64" s="292"/>
      <c r="D64" s="292"/>
      <c r="E64" s="292"/>
      <c r="F64" s="292"/>
      <c r="G64" s="292"/>
      <c r="H64" s="292"/>
      <c r="I64" s="292"/>
    </row>
    <row r="65" spans="1:10" x14ac:dyDescent="0.2">
      <c r="A65" s="73">
        <v>2</v>
      </c>
      <c r="B65" s="292" t="s">
        <v>267</v>
      </c>
      <c r="C65" s="292"/>
      <c r="D65" s="292"/>
      <c r="E65" s="292"/>
      <c r="F65" s="292"/>
      <c r="G65" s="292"/>
      <c r="H65" s="292"/>
      <c r="I65" s="292"/>
    </row>
    <row r="66" spans="1:10" x14ac:dyDescent="0.2">
      <c r="A66" s="73">
        <v>3</v>
      </c>
      <c r="B66" s="292" t="s">
        <v>268</v>
      </c>
      <c r="C66" s="292"/>
      <c r="D66" s="292"/>
      <c r="E66" s="292"/>
      <c r="F66" s="292"/>
      <c r="G66" s="292"/>
      <c r="H66" s="292"/>
      <c r="I66" s="292"/>
    </row>
    <row r="67" spans="1:10" x14ac:dyDescent="0.2">
      <c r="A67" s="73">
        <v>4</v>
      </c>
      <c r="B67" s="76" t="s">
        <v>269</v>
      </c>
      <c r="C67" s="76"/>
      <c r="D67" s="76"/>
      <c r="E67" s="76"/>
      <c r="F67" s="76"/>
      <c r="G67" s="76"/>
      <c r="H67" s="76"/>
      <c r="I67" s="76"/>
    </row>
    <row r="68" spans="1:10" x14ac:dyDescent="0.2">
      <c r="A68" s="73">
        <v>5</v>
      </c>
      <c r="B68" s="292" t="s">
        <v>270</v>
      </c>
      <c r="C68" s="292"/>
      <c r="D68" s="292"/>
      <c r="E68" s="292"/>
      <c r="F68" s="292"/>
      <c r="G68" s="292"/>
      <c r="H68" s="292"/>
      <c r="I68" s="292"/>
      <c r="J68" s="292"/>
    </row>
    <row r="69" spans="1:10" x14ac:dyDescent="0.2">
      <c r="A69" s="73">
        <v>6</v>
      </c>
      <c r="B69" s="292" t="s">
        <v>271</v>
      </c>
      <c r="C69" s="292"/>
      <c r="D69" s="292"/>
      <c r="E69" s="292"/>
      <c r="F69" s="292"/>
      <c r="G69" s="292"/>
      <c r="H69" s="292"/>
      <c r="I69" s="292"/>
    </row>
    <row r="70" spans="1:10" x14ac:dyDescent="0.2">
      <c r="A70" s="73">
        <v>7</v>
      </c>
      <c r="B70" s="159" t="s">
        <v>272</v>
      </c>
      <c r="C70" s="159"/>
      <c r="D70" s="159"/>
      <c r="E70" s="159"/>
      <c r="F70" s="159"/>
      <c r="G70" s="159"/>
      <c r="H70" s="159"/>
      <c r="I70" s="159"/>
    </row>
    <row r="71" spans="1:10" x14ac:dyDescent="0.2">
      <c r="A71" s="73">
        <v>8</v>
      </c>
      <c r="B71" s="159" t="s">
        <v>273</v>
      </c>
      <c r="C71" s="159"/>
      <c r="D71" s="159"/>
      <c r="E71" s="159"/>
      <c r="F71" s="159"/>
      <c r="G71" s="159"/>
      <c r="H71" s="159"/>
      <c r="I71" s="159"/>
    </row>
    <row r="72" spans="1:10" x14ac:dyDescent="0.2">
      <c r="A72" s="73">
        <v>9</v>
      </c>
      <c r="B72" s="292" t="s">
        <v>274</v>
      </c>
      <c r="C72" s="292"/>
      <c r="D72" s="292"/>
      <c r="E72" s="292"/>
      <c r="F72" s="292"/>
      <c r="G72" s="292"/>
      <c r="H72" s="292"/>
      <c r="I72" s="292"/>
    </row>
    <row r="73" spans="1:10" x14ac:dyDescent="0.2">
      <c r="A73" s="73">
        <v>10</v>
      </c>
      <c r="B73" s="292" t="s">
        <v>275</v>
      </c>
      <c r="C73" s="292"/>
      <c r="D73" s="292"/>
      <c r="E73" s="292"/>
      <c r="F73" s="292"/>
      <c r="G73" s="292"/>
      <c r="H73" s="292"/>
      <c r="I73" s="292"/>
    </row>
  </sheetData>
  <mergeCells count="15">
    <mergeCell ref="B73:I73"/>
    <mergeCell ref="B68:J68"/>
    <mergeCell ref="B65:I65"/>
    <mergeCell ref="B66:I66"/>
    <mergeCell ref="B69:I69"/>
    <mergeCell ref="B64:I64"/>
    <mergeCell ref="A7:N7"/>
    <mergeCell ref="M9:N9"/>
    <mergeCell ref="M8:N8"/>
    <mergeCell ref="B72:I72"/>
    <mergeCell ref="F3:J5"/>
    <mergeCell ref="A34:D34"/>
    <mergeCell ref="A53:A54"/>
    <mergeCell ref="B53:M53"/>
    <mergeCell ref="A63:H63"/>
  </mergeCells>
  <phoneticPr fontId="1" type="noConversion"/>
  <pageMargins left="0.75" right="0.4375" top="0.68055555555555558" bottom="1" header="0.22361111111111112" footer="0.5"/>
  <pageSetup paperSize="9" scale="32" orientation="landscape" horizontalDpi="4294967292" verticalDpi="4294967292" r:id="rId1"/>
  <headerFooter>
    <oddHeader>&amp;L&amp;G</oddHeader>
  </headerFooter>
  <rowBreaks count="1" manualBreakCount="1">
    <brk id="79" max="16383" man="1"/>
  </rowBreaks>
  <colBreaks count="1" manualBreakCount="1">
    <brk id="17" max="1048575"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Excel Android</Application>
  <ScaleCrop>false</ScaleCrop>
  <HeadingPairs>
    <vt:vector size="2" baseType="variant">
      <vt:variant>
        <vt:lpstr>Worksheets</vt:lpstr>
      </vt:variant>
      <vt:variant>
        <vt:i4>7</vt:i4>
      </vt:variant>
    </vt:vector>
  </HeadingPairs>
  <TitlesOfParts>
    <vt:vector size="7" baseType="lpstr">
      <vt:lpstr>Overview</vt:lpstr>
      <vt:lpstr>Exercise Selection</vt:lpstr>
      <vt:lpstr>Training Plan</vt:lpstr>
      <vt:lpstr>Formula</vt:lpstr>
      <vt:lpstr>RM Calculator</vt:lpstr>
      <vt:lpstr>Mobility Warm Up and Cool Down</vt:lpstr>
      <vt:lpstr>Macrocycle Analytics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Team SBS</dc:creator>
  <cp:keywords/>
  <dc:description/>
  <cp:lastModifiedBy>Leonard Marshall-Afzal</cp:lastModifiedBy>
  <cp:revision/>
  <dcterms:created xsi:type="dcterms:W3CDTF">2014-08-27T16:47:42Z</dcterms:created>
  <dcterms:modified xsi:type="dcterms:W3CDTF">2021-11-01T12:50:09Z</dcterms:modified>
  <cp:category/>
  <cp:contentStatus/>
</cp:coreProperties>
</file>